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b403fcfcb4c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2792a6b45fba476e"/>
    <x:sheet xmlns:r="http://schemas.openxmlformats.org/officeDocument/2006/relationships" name="Subtipos" sheetId="2" r:id="R7eb0217ac4384d52"/>
    <x:sheet xmlns:r="http://schemas.openxmlformats.org/officeDocument/2006/relationships" name="Origens" sheetId="3" r:id="Rc84a872663274588"/>
    <x:sheet xmlns:r="http://schemas.openxmlformats.org/officeDocument/2006/relationships" name="Regioes" sheetId="4" r:id="Rfb9d6b7734594b3a"/>
    <x:sheet xmlns:r="http://schemas.openxmlformats.org/officeDocument/2006/relationships" name="Conferencia" sheetId="5" r:id="Re6cbc86f9bf2495b"/>
    <x:sheet xmlns:r="http://schemas.openxmlformats.org/officeDocument/2006/relationships" name="Metodo" sheetId="6" r:id="R4782587e446747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7">
    <x:font>
      <x:sz val="11"/>
      <x:name val="Carlito"/>
    </x:font>
    <x:font>
      <x:sz val="11"/>
      <x:color rgb="FF243746"/>
      <x:name val="Arial"/>
    </x:font>
    <x:font>
      <x:b/>
      <x:sz val="11"/>
      <x:color rgb="FFFFFFFF"/>
      <x:name val="Arial"/>
    </x:font>
    <x:font>
      <x:b/>
      <x:sz val="16"/>
      <x:color rgb="FF243746"/>
      <x:name val="Arial"/>
    </x:font>
    <x:font>
      <x:i/>
      <x:sz val="11"/>
      <x:color rgb="FF586B78"/>
      <x:name val="Arial"/>
    </x:font>
    <x:font>
      <x:b/>
      <x:sz val="11"/>
      <x:color rgb="FF243746"/>
      <x:name val="Arial"/>
    </x:font>
    <x:font>
      <x:b/>
      <x:sz val="11"/>
      <x:color rgb="FF9A5A0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465B"/>
      </x:patternFill>
    </x:fill>
    <x:fill>
      <x:patternFill patternType="solid">
        <x:fgColor rgb="FFE3EB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7973670d0440f" /><Relationship Type="http://schemas.openxmlformats.org/officeDocument/2006/relationships/theme" Target="/xl/theme/theme1.xml" Id="Rdbc6d6a8c81a483c" /><Relationship Type="http://schemas.openxmlformats.org/officeDocument/2006/relationships/sharedStrings" Target="/xl/sharedStrings.xml" Id="R1e76f1a4b1c04489" /><Relationship Type="http://schemas.openxmlformats.org/officeDocument/2006/relationships/worksheet" Target="/xl/worksheets/sheet1.xml" Id="R2792a6b45fba476e" /><Relationship Type="http://schemas.openxmlformats.org/officeDocument/2006/relationships/worksheet" Target="/xl/worksheets/sheet2.xml" Id="R7eb0217ac4384d52" /><Relationship Type="http://schemas.openxmlformats.org/officeDocument/2006/relationships/worksheet" Target="/xl/worksheets/sheet3.xml" Id="Rc84a872663274588" /><Relationship Type="http://schemas.openxmlformats.org/officeDocument/2006/relationships/worksheet" Target="/xl/worksheets/sheet4.xml" Id="Rfb9d6b7734594b3a" /><Relationship Type="http://schemas.openxmlformats.org/officeDocument/2006/relationships/worksheet" Target="/xl/worksheets/sheet5.xml" Id="Re6cbc86f9bf2495b" /><Relationship Type="http://schemas.openxmlformats.org/officeDocument/2006/relationships/worksheet" Target="/xl/worksheets/sheet6.xml" Id="R4782587e44674700" /></Relationships>
</file>

<file path=xl/tables/table1.xml><?xml version="1.0" encoding="utf-8"?>
<x:table xmlns:x="http://schemas.openxmlformats.org/spreadsheetml/2006/main" id="1" name="TblSubtipos" displayName="TblSubtipos" ref="A1:F63" headerRowCount="1" totalsRowCount="0" totalsRowShown="0">
  <x:tableColumns count="6">
    <x:tableColumn id="1" name="Classe"/>
    <x:tableColumn id="2" name="Subtipo / grupo"/>
    <x:tableColumn id="3" name="Origens anteriores"/>
    <x:tableColumn id="4" name="Origens novas"/>
    <x:tableColumn id="5" name="Origens totais"/>
    <x:tableColumn id="6" name="Registros FAS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Origens" displayName="TblOrigens" ref="A1:J311" headerRowCount="1" totalsRowCount="0" totalsRowShown="0">
  <x:tableColumns count="10">
    <x:tableColumn id="1" name="Classe"/>
    <x:tableColumn id="2" name="ID de origem"/>
    <x:tableColumn id="3" name="Subtipo"/>
    <x:tableColumn id="4" name="Tipo de material"/>
    <x:tableColumn id="5" name="Modelo/subtipo detalhado"/>
    <x:tableColumn id="6" name="Presente antes (0/1)"/>
    <x:tableColumn id="7" name="Presente no artigo (0/1)"/>
    <x:tableColumn id="8" name="Registros FASTA finais"/>
    <x:tableColumn id="9" name="Regiões disponíveis"/>
    <x:tableColumn id="10" name="Observa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Regioes" displayName="TblRegioes" ref="A1:C38" headerRowCount="1" totalsRowCount="0" totalsRowShown="0">
  <x:tableColumns count="3">
    <x:tableColumn id="1" name="Classe"/>
    <x:tableColumn id="2" name="Região"/>
    <x:tableColumn id="3" name="Registros FAST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Conferencia" displayName="TblConferencia" ref="A1:E10" headerRowCount="1" totalsRowCount="0" totalsRowShown="0">
  <x:tableColumns count="5">
    <x:tableColumn id="1" name="Verificação"/>
    <x:tableColumn id="2" name="Origem"/>
    <x:tableColumn id="3" name="Arquivo"/>
    <x:tableColumn id="4" name="Cabeçalho original"/>
    <x:tableColumn id="5" name="Result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Metodo" displayName="TblMetodo" ref="A1:B22" headerRowCount="1" totalsRowCount="0" totalsRowShown="0">
  <x:tableColumns count="2">
    <x:tableColumn id="1" name="Item"/>
    <x:tableColumn id="2" name="Critério / fo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b8bb95735f40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b86f0e796c40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53f42489134a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2890827a234d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804b45192a465e" /></Relationships>
</file>

<file path=xl/worksheets/sheet1.xml><?xml version="1.0" encoding="utf-8"?>
<x:worksheet xmlns:x="http://schemas.openxmlformats.org/spreadsheetml/2006/main">
  <x:sheetPr>
    <x:tabColor rgb="FF29465B"/>
  </x:sheetPr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3" hidden="0" customWidth="1"/>
    <x:col min="4" max="4" width="66" hidden="0" customWidth="1"/>
    <x:col min="5" max="5" width="3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10" t="str">
        <x:v>Sequências integradas para o TCC</x:v>
      </x:c>
      <x:c r="B2" s="2"/>
      <x:c r="C2" s="2"/>
      <x:c r="D2" s="2"/>
      <x:c r="E2" s="2"/>
    </x:row>
    <x:row r="3" ht="25" customHeight="1">
      <x:c r="A3" s="11" t="str">
        <x:v>Contagem por identificador de origem e por registro FASTA</x:v>
      </x:c>
      <x:c r="B3" s="2"/>
      <x:c r="C3" s="2"/>
      <x:c r="D3" s="2"/>
      <x:c r="E3" s="2"/>
    </x:row>
    <x:row r="4" ht="25" customHeight="1">
      <x:c r="A4" s="2"/>
      <x:c r="B4" s="2"/>
      <x:c r="C4" s="2"/>
      <x:c r="D4" s="2"/>
      <x:c r="E4" s="2"/>
    </x:row>
    <x:row r="5" ht="38" customHeight="1">
      <x:c r="A5" s="5" t="str">
        <x:v>Classe</x:v>
      </x:c>
      <x:c r="B5" s="5" t="str">
        <x:v>Origens / modelos</x:v>
      </x:c>
      <x:c r="C5" s="5" t="str">
        <x:v>Registros FASTA</x:v>
      </x:c>
      <x:c r="D5" s="5" t="str">
        <x:v>Composição</x:v>
      </x:c>
      <x:c r="E5" s="2"/>
    </x:row>
    <x:row r="6" ht="34" customHeight="1">
      <x:c r="A6" s="2" t="str">
        <x:v>LINE</x:v>
      </x:c>
      <x:c r="B6" s="7" t="n">
        <x:f>SUMIF(Subtipos!$A$2:$A$63,"LINE",Subtipos!$E$2:$E$63)</x:f>
        <x:v>57</x:v>
      </x:c>
      <x:c r="C6" s="7" t="n">
        <x:f>SUMIF(Subtipos!$A$2:$A$63,"LINE",Subtipos!$F$2:$F$63)</x:f>
        <x:v>542</x:v>
      </x:c>
      <x:c r="D6" s="8" t="str">
        <x:v>Modelos/consensos e loci do conjunto principal</x:v>
      </x:c>
      <x:c r="E6" s="2"/>
    </x:row>
    <x:row r="7" ht="34" customHeight="1">
      <x:c r="A7" s="2" t="str">
        <x:v>SINE</x:v>
      </x:c>
      <x:c r="B7" s="7" t="n">
        <x:f>SUMIF(Subtipos!$A$2:$A$63,"SINE",Subtipos!$E$2:$E$63)+SUMIF(Subtipos!$A$2:$A$63,"SINE_referencias",Subtipos!$E$2:$E$63)</x:f>
        <x:v>135</x:v>
      </x:c>
      <x:c r="C7" s="7" t="n">
        <x:f>SUMIF(Subtipos!$A$2:$A$63,"SINE",Subtipos!$F$2:$F$63)+SUMIF(Subtipos!$A$2:$A$63,"SINE_referencias",Subtipos!$F$2:$F$63)</x:f>
        <x:v>418</x:v>
      </x:c>
      <x:c r="D7" s="8" t="str">
        <x:v>121 principais + 14 referências genéricas</x:v>
      </x:c>
      <x:c r="E7" s="2"/>
    </x:row>
    <x:row r="8" ht="34" customHeight="1">
      <x:c r="A8" s="2" t="str">
        <x:v>PERV</x:v>
      </x:c>
      <x:c r="B8" s="7" t="n">
        <x:f>SUMIF(Subtipos!$A$2:$A$63,"PERV",Subtipos!$E$2:$E$63)</x:f>
        <x:v>97</x:v>
      </x:c>
      <x:c r="C8" s="7" t="n">
        <x:f>SUMIF(Subtipos!$A$2:$A$63,"PERV",Subtipos!$F$2:$F$63)</x:f>
        <x:v>580</x:v>
      </x:c>
      <x:c r="D8" s="8" t="str">
        <x:v>Partes de ERV6A/ERV6B vinculadas a loci já presentes</x:v>
      </x:c>
      <x:c r="E8" s="2"/>
    </x:row>
    <x:row r="9" ht="34" customHeight="1">
      <x:c r="A9" s="2"/>
      <x:c r="B9" s="7"/>
      <x:c r="C9" s="7"/>
      <x:c r="D9" s="8"/>
      <x:c r="E9" s="2"/>
    </x:row>
    <x:row r="10" ht="34" customHeight="1">
      <x:c r="A10" s="2"/>
      <x:c r="B10" s="7"/>
      <x:c r="C10" s="7"/>
      <x:c r="D10" s="8"/>
      <x:c r="E10" s="2"/>
    </x:row>
    <x:row r="11" ht="34" customHeight="1">
      <x:c r="A11" s="5" t="str">
        <x:v>Material complementar</x:v>
      </x:c>
      <x:c r="B11" s="15" t="str">
        <x:v>Origens / modelos</x:v>
      </x:c>
      <x:c r="C11" s="15" t="str">
        <x:v>Registros FASTA</x:v>
      </x:c>
      <x:c r="D11" s="5" t="str">
        <x:v>Critério</x:v>
      </x:c>
      <x:c r="E11" s="2"/>
    </x:row>
    <x:row r="12" ht="34" customHeight="1">
      <x:c r="A12" s="2" t="str">
        <x:v>Outros ERVs</x:v>
      </x:c>
      <x:c r="B12" s="7" t="n">
        <x:f>SUMIF(Subtipos!$A$2:$A$63,"ERV_outros",Subtipos!$E$2:$E$63)</x:f>
        <x:v>17</x:v>
      </x:c>
      <x:c r="C12" s="7" t="n">
        <x:f>SUMIF(Subtipos!$A$2:$A$63,"ERV_outros",Subtipos!$F$2:$F$63)</x:f>
        <x:v>61</x:v>
      </x:c>
      <x:c r="D12" s="8" t="str">
        <x:v>ERV1–ERV18, exceto ERV6</x:v>
      </x:c>
      <x:c r="E12" s="2"/>
    </x:row>
    <x:row r="13" ht="34" customHeight="1">
      <x:c r="A13" s="2" t="str">
        <x:v>Transcritos com SINE</x:v>
      </x:c>
      <x:c r="B13" s="7" t="n">
        <x:f>SUMIF(Subtipos!$A$2:$A$63,"SINE_transcritos",Subtipos!$E$2:$E$63)</x:f>
        <x:v>3</x:v>
      </x:c>
      <x:c r="C13" s="7" t="n">
        <x:f>SUMIF(Subtipos!$A$2:$A$63,"SINE_transcritos",Subtipos!$F$2:$F$63)</x:f>
        <x:v>5</x:v>
      </x:c>
      <x:c r="D13" s="8" t="str">
        <x:v>Mantidos à parte dos SINE isolados/consensos</x:v>
      </x:c>
      <x:c r="E13" s="2"/>
    </x:row>
    <x:row r="14" ht="34" customHeight="1">
      <x:c r="A14" s="2" t="str">
        <x:v>Referência RNA</x:v>
      </x:c>
      <x:c r="B14" s="7" t="n">
        <x:f>SUMIF(Subtipos!$A$2:$A$63,"Referencia_RNA",Subtipos!$E$2:$E$63)</x:f>
        <x:v>1</x:v>
      </x:c>
      <x:c r="C14" s="7" t="n">
        <x:f>SUMIF(Subtipos!$A$2:$A$63,"Referencia_RNA",Subtipos!$F$2:$F$63)</x:f>
        <x:v>1</x:v>
      </x:c>
      <x:c r="D14" s="8" t="str">
        <x:v>7SLRNA</x:v>
      </x:c>
      <x:c r="E14" s="2"/>
    </x:row>
    <x:row r="15" ht="25" customHeight="1">
      <x:c r="A15" s="2"/>
      <x:c r="B15" s="7"/>
      <x:c r="C15" s="7"/>
      <x:c r="D15" s="2"/>
      <x:c r="E15" s="2"/>
    </x:row>
    <x:row r="16" ht="25" customHeight="1">
      <x:c r="A16" s="13" t="str">
        <x:v>Total do pacote</x:v>
      </x:c>
      <x:c r="B16" s="16" t="n">
        <x:f>SUM(B6:B8,B12:B14)</x:f>
        <x:v>310</x:v>
      </x:c>
      <x:c r="C16" s="16" t="n">
        <x:f>SUM(C6:C8,C12:C14)</x:f>
        <x:v>1607</x:v>
      </x:c>
      <x:c r="D16" s="13" t="str">
        <x:v>Inclui materiais complementares</x:v>
      </x:c>
      <x:c r="E16" s="2"/>
    </x:row>
    <x:row r="17" ht="25" customHeight="1">
      <x:c r="A17" s="2"/>
      <x:c r="B17" s="2"/>
      <x:c r="C17" s="2"/>
      <x:c r="D17" s="2"/>
      <x:c r="E17" s="2"/>
    </x:row>
    <x:row r="18" ht="25" customHeight="1">
      <x:c r="A18" s="2"/>
      <x:c r="B18" s="2"/>
      <x:c r="C18" s="2"/>
      <x:c r="D18" s="2"/>
      <x:c r="E18" s="2"/>
    </x:row>
    <x:row r="19" ht="38" customHeight="1">
      <x:c r="A19" s="5" t="str">
        <x:v>Integração</x:v>
      </x:c>
      <x:c r="B19" s="5" t="str">
        <x:v>Registros FASTA</x:v>
      </x:c>
      <x:c r="C19" s="2" t="str"/>
      <x:c r="D19" s="2"/>
      <x:c r="E19" s="2"/>
    </x:row>
    <x:row r="20" ht="25" customHeight="1">
      <x:c r="A20" s="2" t="str">
        <x:v>Pacote anterior</x:v>
      </x:c>
      <x:c r="B20" s="7" t="n">
        <x:v>1153</x:v>
      </x:c>
      <x:c r="C20" s="2" t="str"/>
      <x:c r="D20" s="2"/>
      <x:c r="E20" s="2"/>
    </x:row>
    <x:row r="21" ht="25" customHeight="1">
      <x:c r="A21" s="2" t="str">
        <x:v>ZIP recebido</x:v>
      </x:c>
      <x:c r="B21" s="7" t="n">
        <x:v>549</x:v>
      </x:c>
      <x:c r="C21" s="2" t="str"/>
      <x:c r="D21" s="2"/>
      <x:c r="E21" s="2"/>
    </x:row>
    <x:row r="22" ht="25" customHeight="1">
      <x:c r="A22" s="2" t="str">
        <x:v>Acrescentados</x:v>
      </x:c>
      <x:c r="B22" s="7" t="n">
        <x:v>454</x:v>
      </x:c>
      <x:c r="C22" s="2" t="str"/>
      <x:c r="D22" s="2"/>
      <x:c r="E22" s="2"/>
    </x:row>
    <x:row r="23" ht="25" customHeight="1">
      <x:c r="A23" s="2" t="str">
        <x:v>Duplicatas não repetidas</x:v>
      </x:c>
      <x:c r="B23" s="7" t="n">
        <x:v>95</x:v>
      </x:c>
      <x:c r="C23" s="2" t="str"/>
      <x:c r="D23" s="2"/>
      <x:c r="E23" s="2"/>
    </x:row>
    <x:row r="24" ht="25" customHeight="1">
      <x:c r="A24" s="2"/>
      <x:c r="B24" s="2"/>
      <x:c r="C24" s="2"/>
      <x:c r="D24" s="2"/>
      <x:c r="E24" s="2"/>
    </x:row>
    <x:row r="25" ht="25" customHeight="1">
      <x:c r="A25" s="2" t="str">
        <x:v>Para uma figura restrita ao conjunto principal: LINE 57, SINE 121 e PERV 97.</x:v>
      </x:c>
      <x:c r="B25" s="2"/>
      <x:c r="C25" s="2"/>
      <x:c r="D25" s="2"/>
      <x:c r="E25" s="2"/>
    </x:row>
    <x:row r="26" ht="25" customHeight="1">
      <x:c r="A26" s="2"/>
      <x:c r="B26" s="2"/>
      <x:c r="C26" s="2"/>
      <x:c r="D26" s="2"/>
      <x:c r="E26" s="2"/>
    </x:row>
    <x:row r="27" ht="25" customHeight="1">
      <x:c r="A27" s="14" t="str">
        <x:v>Dois ORF2 divergem do FULL recebido. Ver aba Conferencia.</x:v>
      </x:c>
      <x:c r="B27" s="2"/>
      <x:c r="C27" s="2"/>
      <x:c r="D27" s="2"/>
      <x:c r="E27" s="2"/>
    </x:row>
    <x:row r="28" ht="25" customHeight="1">
      <x:c r="A28" s="2" t="str">
        <x:v>Origens/modelos não representam necessariamente loci independentes nem sequências completas.</x:v>
      </x:c>
      <x:c r="B28" s="2"/>
      <x:c r="C28" s="2"/>
      <x:c r="D28" s="2"/>
      <x:c r="E28" s="2"/>
    </x:row>
    <x:row r="29" ht="25" customHeight="1">
      <x:c r="A29" s="2" t="str">
        <x:v>As regiões podem se sobrepor. Não somar fragmentos para estimar o número de elementos.</x:v>
      </x:c>
      <x:c r="B29" s="2"/>
      <x:c r="C29" s="2"/>
      <x:c r="D29" s="2"/>
      <x:c r="E29" s="2"/>
    </x:row>
    <x:row r="30" ht="25" customHeight="1">
      <x:c r="A30" s="2"/>
      <x:c r="B30" s="2"/>
      <x:c r="C30" s="2"/>
      <x:c r="D30" s="2"/>
      <x:c r="E30" s="2"/>
    </x:row>
    <x:row r="31" ht="25" customHeight="1">
      <x:c r="A31" s="2"/>
      <x:c r="B31" s="2"/>
      <x:c r="C31" s="2"/>
      <x:c r="D31" s="2"/>
      <x:c r="E3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2" hidden="0" customWidth="1"/>
    <x:col min="3" max="3" width="18" hidden="0" customWidth="1"/>
    <x:col min="4" max="4" width="17" hidden="0" customWidth="1"/>
    <x:col min="5" max="5" width="17" hidden="0" customWidth="1"/>
    <x:col min="6" max="6" width="19" hidden="0" customWidth="1"/>
  </x:cols>
  <x:sheetData>
    <x:row r="1" ht="44" customHeight="1">
      <x:c r="A1" s="6" t="str">
        <x:v>Classe</x:v>
      </x:c>
      <x:c r="B1" s="6" t="str">
        <x:v>Subtipo / grupo</x:v>
      </x:c>
      <x:c r="C1" s="6" t="str">
        <x:v>Origens anteriores</x:v>
      </x:c>
      <x:c r="D1" s="6" t="str">
        <x:v>Origens novas</x:v>
      </x:c>
      <x:c r="E1" s="6" t="str">
        <x:v>Origens totais</x:v>
      </x:c>
      <x:c r="F1" s="6" t="str">
        <x:v>Registros FASTA</x:v>
      </x:c>
    </x:row>
    <x:row r="2" ht="25" customHeight="1">
      <x:c r="A2" s="2" t="str">
        <x:v>LINE</x:v>
      </x:c>
      <x:c r="B2" s="2" t="str">
        <x:v>L1A</x:v>
      </x:c>
      <x:c r="C2" s="7" t="n">
        <x:v>7</x:v>
      </x:c>
      <x:c r="D2" s="7" t="n">
        <x:v>0</x:v>
      </x:c>
      <x:c r="E2" s="7" t="n">
        <x:f>C2+D2</x:f>
        <x:v>7</x:v>
      </x:c>
      <x:c r="F2" s="7" t="n">
        <x:v>70</x:v>
      </x:c>
    </x:row>
    <x:row r="3" ht="25" customHeight="1">
      <x:c r="A3" s="2" t="str">
        <x:v>LINE</x:v>
      </x:c>
      <x:c r="B3" s="2" t="str">
        <x:v>L1B</x:v>
      </x:c>
      <x:c r="C3" s="7" t="n">
        <x:v>12</x:v>
      </x:c>
      <x:c r="D3" s="7" t="n">
        <x:v>0</x:v>
      </x:c>
      <x:c r="E3" s="7" t="n">
        <x:f>C3+D3</x:f>
        <x:v>12</x:v>
      </x:c>
      <x:c r="F3" s="7" t="n">
        <x:v>113</x:v>
      </x:c>
    </x:row>
    <x:row r="4" ht="25" customHeight="1">
      <x:c r="A4" s="2" t="str">
        <x:v>LINE</x:v>
      </x:c>
      <x:c r="B4" s="2" t="str">
        <x:v>L1C</x:v>
      </x:c>
      <x:c r="C4" s="7" t="n">
        <x:v>13</x:v>
      </x:c>
      <x:c r="D4" s="7" t="n">
        <x:v>0</x:v>
      </x:c>
      <x:c r="E4" s="7" t="n">
        <x:f>C4+D4</x:f>
        <x:v>13</x:v>
      </x:c>
      <x:c r="F4" s="7" t="n">
        <x:v>143</x:v>
      </x:c>
    </x:row>
    <x:row r="5" ht="25" customHeight="1">
      <x:c r="A5" s="2" t="str">
        <x:v>LINE</x:v>
      </x:c>
      <x:c r="B5" s="2" t="str">
        <x:v>L1D</x:v>
      </x:c>
      <x:c r="C5" s="7" t="n">
        <x:v>21</x:v>
      </x:c>
      <x:c r="D5" s="7" t="n">
        <x:v>0</x:v>
      </x:c>
      <x:c r="E5" s="7" t="n">
        <x:f>C5+D5</x:f>
        <x:v>21</x:v>
      </x:c>
      <x:c r="F5" s="7" t="n">
        <x:v>199</x:v>
      </x:c>
    </x:row>
    <x:row r="6" ht="25" customHeight="1">
      <x:c r="A6" s="2" t="str">
        <x:v>LINE</x:v>
      </x:c>
      <x:c r="B6" s="2" t="str">
        <x:v>L1_SS</x:v>
      </x:c>
      <x:c r="C6" s="7" t="n">
        <x:v>4</x:v>
      </x:c>
      <x:c r="D6" s="7" t="n">
        <x:v>0</x:v>
      </x:c>
      <x:c r="E6" s="7" t="n">
        <x:f>C6+D6</x:f>
        <x:v>4</x:v>
      </x:c>
      <x:c r="F6" s="7" t="n">
        <x:v>17</x:v>
      </x:c>
    </x:row>
    <x:row r="7" ht="25" customHeight="1">
      <x:c r="A7" s="2" t="str">
        <x:v>SINE</x:v>
      </x:c>
      <x:c r="B7" s="2" t="str">
        <x:v>PRE-1</x:v>
      </x:c>
      <x:c r="C7" s="7" t="n">
        <x:v>2</x:v>
      </x:c>
      <x:c r="D7" s="7" t="n">
        <x:v>0</x:v>
      </x:c>
      <x:c r="E7" s="7" t="n">
        <x:f>C7+D7</x:f>
        <x:v>2</x:v>
      </x:c>
      <x:c r="F7" s="7" t="n">
        <x:v>5</x:v>
      </x:c>
    </x:row>
    <x:row r="8" ht="25" customHeight="1">
      <x:c r="A8" s="2" t="str">
        <x:v>SINE</x:v>
      </x:c>
      <x:c r="B8" s="2" t="str">
        <x:v>Pre0_SS</x:v>
      </x:c>
      <x:c r="C8" s="7" t="n">
        <x:v>3</x:v>
      </x:c>
      <x:c r="D8" s="7" t="n">
        <x:v>0</x:v>
      </x:c>
      <x:c r="E8" s="7" t="n">
        <x:f>C8+D8</x:f>
        <x:v>3</x:v>
      </x:c>
      <x:c r="F8" s="7" t="n">
        <x:v>7</x:v>
      </x:c>
    </x:row>
    <x:row r="9" ht="25" customHeight="1">
      <x:c r="A9" s="2" t="str">
        <x:v>SINE</x:v>
      </x:c>
      <x:c r="B9" s="2" t="str">
        <x:v>SINEA</x:v>
      </x:c>
      <x:c r="C9" s="7" t="n">
        <x:v>11</x:v>
      </x:c>
      <x:c r="D9" s="7" t="n">
        <x:v>0</x:v>
      </x:c>
      <x:c r="E9" s="7" t="n">
        <x:f>C9+D9</x:f>
        <x:v>11</x:v>
      </x:c>
      <x:c r="F9" s="7" t="n">
        <x:v>59</x:v>
      </x:c>
    </x:row>
    <x:row r="10" ht="25" customHeight="1">
      <x:c r="A10" s="2" t="str">
        <x:v>SINE</x:v>
      </x:c>
      <x:c r="B10" s="2" t="str">
        <x:v>SINEB</x:v>
      </x:c>
      <x:c r="C10" s="7" t="n">
        <x:v>6</x:v>
      </x:c>
      <x:c r="D10" s="7" t="n">
        <x:v>0</x:v>
      </x:c>
      <x:c r="E10" s="7" t="n">
        <x:f>C10+D10</x:f>
        <x:v>6</x:v>
      </x:c>
      <x:c r="F10" s="7" t="n">
        <x:v>32</x:v>
      </x:c>
    </x:row>
    <x:row r="11" ht="25" customHeight="1">
      <x:c r="A11" s="2" t="str">
        <x:v>SINE</x:v>
      </x:c>
      <x:c r="B11" s="2" t="str">
        <x:v>SINEC</x:v>
      </x:c>
      <x:c r="C11" s="7" t="n">
        <x:v>8</x:v>
      </x:c>
      <x:c r="D11" s="7" t="n">
        <x:v>0</x:v>
      </x:c>
      <x:c r="E11" s="7" t="n">
        <x:f>C11+D11</x:f>
        <x:v>8</x:v>
      </x:c>
      <x:c r="F11" s="7" t="n">
        <x:v>36</x:v>
      </x:c>
    </x:row>
    <x:row r="12" ht="25" customHeight="1">
      <x:c r="A12" s="2" t="str">
        <x:v>SINE</x:v>
      </x:c>
      <x:c r="B12" s="2" t="str">
        <x:v>YoungSINE L</x:v>
      </x:c>
      <x:c r="C12" s="7" t="n">
        <x:v>17</x:v>
      </x:c>
      <x:c r="D12" s="7" t="n">
        <x:v>0</x:v>
      </x:c>
      <x:c r="E12" s="7" t="n">
        <x:f>C12+D12</x:f>
        <x:v>17</x:v>
      </x:c>
      <x:c r="F12" s="7" t="n">
        <x:v>49</x:v>
      </x:c>
    </x:row>
    <x:row r="13" ht="25" customHeight="1">
      <x:c r="A13" s="2" t="str">
        <x:v>SINE</x:v>
      </x:c>
      <x:c r="B13" s="2" t="str">
        <x:v>YoungSINE M</x:v>
      </x:c>
      <x:c r="C13" s="7" t="n">
        <x:v>12</x:v>
      </x:c>
      <x:c r="D13" s="7" t="n">
        <x:v>0</x:v>
      </x:c>
      <x:c r="E13" s="7" t="n">
        <x:f>C13+D13</x:f>
        <x:v>12</x:v>
      </x:c>
      <x:c r="F13" s="7" t="n">
        <x:v>36</x:v>
      </x:c>
    </x:row>
    <x:row r="14" ht="25" customHeight="1">
      <x:c r="A14" s="2" t="str">
        <x:v>SINE</x:v>
      </x:c>
      <x:c r="B14" s="2" t="str">
        <x:v>YoungSINE S</x:v>
      </x:c>
      <x:c r="C14" s="7" t="n">
        <x:v>61</x:v>
      </x:c>
      <x:c r="D14" s="7" t="n">
        <x:v>0</x:v>
      </x:c>
      <x:c r="E14" s="7" t="n">
        <x:f>C14+D14</x:f>
        <x:v>61</x:v>
      </x:c>
      <x:c r="F14" s="7" t="n">
        <x:v>177</x:v>
      </x:c>
    </x:row>
    <x:row r="15" ht="25" customHeight="1">
      <x:c r="A15" s="2" t="str">
        <x:v>SINE</x:v>
      </x:c>
      <x:c r="B15" s="2" t="str">
        <x:v>YoungSINE consenso</x:v>
      </x:c>
      <x:c r="C15" s="7" t="n">
        <x:v>1</x:v>
      </x:c>
      <x:c r="D15" s="7" t="n">
        <x:v>0</x:v>
      </x:c>
      <x:c r="E15" s="7" t="n">
        <x:f>C15+D15</x:f>
        <x:v>1</x:v>
      </x:c>
      <x:c r="F15" s="7" t="n">
        <x:v>3</x:v>
      </x:c>
    </x:row>
    <x:row r="16" ht="25" customHeight="1">
      <x:c r="A16" s="2" t="str">
        <x:v>PERV</x:v>
      </x:c>
      <x:c r="B16" s="2" t="str">
        <x:v>PERV</x:v>
      </x:c>
      <x:c r="C16" s="7" t="n">
        <x:v>6</x:v>
      </x:c>
      <x:c r="D16" s="7" t="n">
        <x:v>0</x:v>
      </x:c>
      <x:c r="E16" s="7" t="n">
        <x:f>C16+D16</x:f>
        <x:v>6</x:v>
      </x:c>
      <x:c r="F16" s="7" t="n">
        <x:v>6</x:v>
      </x:c>
    </x:row>
    <x:row r="17" ht="25" customHeight="1">
      <x:c r="A17" s="2" t="str">
        <x:v>PERV</x:v>
      </x:c>
      <x:c r="B17" s="2" t="str">
        <x:v>PERV (subtipo a conferir)</x:v>
      </x:c>
      <x:c r="C17" s="7" t="n">
        <x:v>1</x:v>
      </x:c>
      <x:c r="D17" s="7" t="n">
        <x:v>0</x:v>
      </x:c>
      <x:c r="E17" s="7" t="n">
        <x:f>C17+D17</x:f>
        <x:v>1</x:v>
      </x:c>
      <x:c r="F17" s="7" t="n">
        <x:v>7</x:v>
      </x:c>
    </x:row>
    <x:row r="18" ht="25" customHeight="1">
      <x:c r="A18" s="2" t="str">
        <x:v>PERV</x:v>
      </x:c>
      <x:c r="B18" s="2" t="str">
        <x:v>PERV-A</x:v>
      </x:c>
      <x:c r="C18" s="7" t="n">
        <x:v>29</x:v>
      </x:c>
      <x:c r="D18" s="7" t="n">
        <x:v>0</x:v>
      </x:c>
      <x:c r="E18" s="7" t="n">
        <x:f>C18+D18</x:f>
        <x:v>29</x:v>
      </x:c>
      <x:c r="F18" s="7" t="n">
        <x:v>198</x:v>
      </x:c>
    </x:row>
    <x:row r="19" ht="25" customHeight="1">
      <x:c r="A19" s="2" t="str">
        <x:v>PERV</x:v>
      </x:c>
      <x:c r="B19" s="2" t="str">
        <x:v>PERV-A-C</x:v>
      </x:c>
      <x:c r="C19" s="7" t="n">
        <x:v>1</x:v>
      </x:c>
      <x:c r="D19" s="7" t="n">
        <x:v>0</x:v>
      </x:c>
      <x:c r="E19" s="7" t="n">
        <x:f>C19+D19</x:f>
        <x:v>1</x:v>
      </x:c>
      <x:c r="F19" s="7" t="n">
        <x:v>6</x:v>
      </x:c>
    </x:row>
    <x:row r="20" ht="25" customHeight="1">
      <x:c r="A20" s="2" t="str">
        <x:v>PERV</x:v>
      </x:c>
      <x:c r="B20" s="2" t="str">
        <x:v>PERV-Alike</x:v>
      </x:c>
      <x:c r="C20" s="7" t="n">
        <x:v>2</x:v>
      </x:c>
      <x:c r="D20" s="7" t="n">
        <x:v>0</x:v>
      </x:c>
      <x:c r="E20" s="7" t="n">
        <x:f>C20+D20</x:f>
        <x:v>2</x:v>
      </x:c>
      <x:c r="F20" s="7" t="n">
        <x:v>6</x:v>
      </x:c>
    </x:row>
    <x:row r="21" ht="25" customHeight="1">
      <x:c r="A21" s="2" t="str">
        <x:v>PERV</x:v>
      </x:c>
      <x:c r="B21" s="2" t="str">
        <x:v>PERV-B</x:v>
      </x:c>
      <x:c r="C21" s="7" t="n">
        <x:v>24</x:v>
      </x:c>
      <x:c r="D21" s="7" t="n">
        <x:v>0</x:v>
      </x:c>
      <x:c r="E21" s="7" t="n">
        <x:f>C21+D21</x:f>
        <x:v>24</x:v>
      </x:c>
      <x:c r="F21" s="7" t="n">
        <x:v>165</x:v>
      </x:c>
    </x:row>
    <x:row r="22" ht="25" customHeight="1">
      <x:c r="A22" s="2" t="str">
        <x:v>PERV</x:v>
      </x:c>
      <x:c r="B22" s="2" t="str">
        <x:v>PERV-C</x:v>
      </x:c>
      <x:c r="C22" s="7" t="n">
        <x:v>15</x:v>
      </x:c>
      <x:c r="D22" s="7" t="n">
        <x:v>0</x:v>
      </x:c>
      <x:c r="E22" s="7" t="n">
        <x:f>C22+D22</x:f>
        <x:v>15</x:v>
      </x:c>
      <x:c r="F22" s="7" t="n">
        <x:v>99</x:v>
      </x:c>
    </x:row>
    <x:row r="23" ht="25" customHeight="1">
      <x:c r="A23" s="2" t="str">
        <x:v>PERV</x:v>
      </x:c>
      <x:c r="B23" s="2" t="str">
        <x:v>PERV-Clike</x:v>
      </x:c>
      <x:c r="C23" s="7" t="n">
        <x:v>5</x:v>
      </x:c>
      <x:c r="D23" s="7" t="n">
        <x:v>0</x:v>
      </x:c>
      <x:c r="E23" s="7" t="n">
        <x:f>C23+D23</x:f>
        <x:v>5</x:v>
      </x:c>
      <x:c r="F23" s="7" t="n">
        <x:v>13</x:v>
      </x:c>
    </x:row>
    <x:row r="24" ht="25" customHeight="1">
      <x:c r="A24" s="2" t="str">
        <x:v>PERV</x:v>
      </x:c>
      <x:c r="B24" s="2" t="str">
        <x:v>PERV-JX1</x:v>
      </x:c>
      <x:c r="C24" s="7" t="n">
        <x:v>3</x:v>
      </x:c>
      <x:c r="D24" s="7" t="n">
        <x:v>0</x:v>
      </x:c>
      <x:c r="E24" s="7" t="n">
        <x:f>C24+D24</x:f>
        <x:v>3</x:v>
      </x:c>
      <x:c r="F24" s="7" t="n">
        <x:v>24</x:v>
      </x:c>
    </x:row>
    <x:row r="25" ht="25" customHeight="1">
      <x:c r="A25" s="2" t="str">
        <x:v>PERV</x:v>
      </x:c>
      <x:c r="B25" s="2" t="str">
        <x:v>PERV-JX2</x:v>
      </x:c>
      <x:c r="C25" s="7" t="n">
        <x:v>1</x:v>
      </x:c>
      <x:c r="D25" s="7" t="n">
        <x:v>0</x:v>
      </x:c>
      <x:c r="E25" s="7" t="n">
        <x:f>C25+D25</x:f>
        <x:v>1</x:v>
      </x:c>
      <x:c r="F25" s="7" t="n">
        <x:v>9</x:v>
      </x:c>
    </x:row>
    <x:row r="26" ht="25" customHeight="1">
      <x:c r="A26" s="2" t="str">
        <x:v>PERV</x:v>
      </x:c>
      <x:c r="B26" s="2" t="str">
        <x:v>PERV-JX2like</x:v>
      </x:c>
      <x:c r="C26" s="7" t="n">
        <x:v>1</x:v>
      </x:c>
      <x:c r="D26" s="7" t="n">
        <x:v>0</x:v>
      </x:c>
      <x:c r="E26" s="7" t="n">
        <x:f>C26+D26</x:f>
        <x:v>1</x:v>
      </x:c>
      <x:c r="F26" s="7" t="n">
        <x:v>5</x:v>
      </x:c>
    </x:row>
    <x:row r="27" ht="25" customHeight="1">
      <x:c r="A27" s="2" t="str">
        <x:v>PERV</x:v>
      </x:c>
      <x:c r="B27" s="2" t="str">
        <x:v>PERV-JX3</x:v>
      </x:c>
      <x:c r="C27" s="7" t="n">
        <x:v>1</x:v>
      </x:c>
      <x:c r="D27" s="7" t="n">
        <x:v>0</x:v>
      </x:c>
      <x:c r="E27" s="7" t="n">
        <x:f>C27+D27</x:f>
        <x:v>1</x:v>
      </x:c>
      <x:c r="F27" s="7" t="n">
        <x:v>7</x:v>
      </x:c>
    </x:row>
    <x:row r="28" ht="25" customHeight="1">
      <x:c r="A28" s="2" t="str">
        <x:v>PERV</x:v>
      </x:c>
      <x:c r="B28" s="2" t="str">
        <x:v>PERV-JX3like</x:v>
      </x:c>
      <x:c r="C28" s="7" t="n">
        <x:v>3</x:v>
      </x:c>
      <x:c r="D28" s="7" t="n">
        <x:v>0</x:v>
      </x:c>
      <x:c r="E28" s="7" t="n">
        <x:f>C28+D28</x:f>
        <x:v>3</x:v>
      </x:c>
      <x:c r="F28" s="7" t="n">
        <x:v>18</x:v>
      </x:c>
    </x:row>
    <x:row r="29" ht="25" customHeight="1">
      <x:c r="A29" s="2" t="str">
        <x:v>PERV</x:v>
      </x:c>
      <x:c r="B29" s="2" t="str">
        <x:v>PERV-JX4</x:v>
      </x:c>
      <x:c r="C29" s="7" t="n">
        <x:v>1</x:v>
      </x:c>
      <x:c r="D29" s="7" t="n">
        <x:v>0</x:v>
      </x:c>
      <x:c r="E29" s="7" t="n">
        <x:f>C29+D29</x:f>
        <x:v>1</x:v>
      </x:c>
      <x:c r="F29" s="7" t="n">
        <x:v>7</x:v>
      </x:c>
    </x:row>
    <x:row r="30" ht="25" customHeight="1">
      <x:c r="A30" s="2" t="str">
        <x:v>PERV</x:v>
      </x:c>
      <x:c r="B30" s="2" t="str">
        <x:v>PERV-UC</x:v>
      </x:c>
      <x:c r="C30" s="7" t="n">
        <x:v>4</x:v>
      </x:c>
      <x:c r="D30" s="7" t="n">
        <x:v>0</x:v>
      </x:c>
      <x:c r="E30" s="7" t="n">
        <x:f>C30+D30</x:f>
        <x:v>4</x:v>
      </x:c>
      <x:c r="F30" s="7" t="n">
        <x:v>10</x:v>
      </x:c>
    </x:row>
    <x:row r="31" ht="25" customHeight="1">
      <x:c r="A31" s="2" t="str">
        <x:v>ERV_outros</x:v>
      </x:c>
      <x:c r="B31" s="2" t="str">
        <x:v>ERV1</x:v>
      </x:c>
      <x:c r="C31" s="7" t="n">
        <x:v>0</x:v>
      </x:c>
      <x:c r="D31" s="7" t="n">
        <x:v>1</x:v>
      </x:c>
      <x:c r="E31" s="7" t="n">
        <x:f>C31+D31</x:f>
        <x:v>1</x:v>
      </x:c>
      <x:c r="F31" s="7" t="n">
        <x:v>5</x:v>
      </x:c>
    </x:row>
    <x:row r="32" ht="25" customHeight="1">
      <x:c r="A32" s="2" t="str">
        <x:v>ERV_outros</x:v>
      </x:c>
      <x:c r="B32" s="2" t="str">
        <x:v>ERV10</x:v>
      </x:c>
      <x:c r="C32" s="7" t="n">
        <x:v>0</x:v>
      </x:c>
      <x:c r="D32" s="7" t="n">
        <x:v>1</x:v>
      </x:c>
      <x:c r="E32" s="7" t="n">
        <x:f>C32+D32</x:f>
        <x:v>1</x:v>
      </x:c>
      <x:c r="F32" s="7" t="n">
        <x:v>4</x:v>
      </x:c>
    </x:row>
    <x:row r="33" ht="25" customHeight="1">
      <x:c r="A33" s="2" t="str">
        <x:v>ERV_outros</x:v>
      </x:c>
      <x:c r="B33" s="2" t="str">
        <x:v>ERV11</x:v>
      </x:c>
      <x:c r="C33" s="7" t="n">
        <x:v>0</x:v>
      </x:c>
      <x:c r="D33" s="7" t="n">
        <x:v>1</x:v>
      </x:c>
      <x:c r="E33" s="7" t="n">
        <x:f>C33+D33</x:f>
        <x:v>1</x:v>
      </x:c>
      <x:c r="F33" s="7" t="n">
        <x:v>3</x:v>
      </x:c>
    </x:row>
    <x:row r="34" ht="25" customHeight="1">
      <x:c r="A34" s="2" t="str">
        <x:v>ERV_outros</x:v>
      </x:c>
      <x:c r="B34" s="2" t="str">
        <x:v>ERV12</x:v>
      </x:c>
      <x:c r="C34" s="7" t="n">
        <x:v>0</x:v>
      </x:c>
      <x:c r="D34" s="7" t="n">
        <x:v>1</x:v>
      </x:c>
      <x:c r="E34" s="7" t="n">
        <x:f>C34+D34</x:f>
        <x:v>1</x:v>
      </x:c>
      <x:c r="F34" s="7" t="n">
        <x:v>4</x:v>
      </x:c>
    </x:row>
    <x:row r="35" ht="25" customHeight="1">
      <x:c r="A35" s="2" t="str">
        <x:v>ERV_outros</x:v>
      </x:c>
      <x:c r="B35" s="2" t="str">
        <x:v>ERV13</x:v>
      </x:c>
      <x:c r="C35" s="7" t="n">
        <x:v>0</x:v>
      </x:c>
      <x:c r="D35" s="7" t="n">
        <x:v>1</x:v>
      </x:c>
      <x:c r="E35" s="7" t="n">
        <x:f>C35+D35</x:f>
        <x:v>1</x:v>
      </x:c>
      <x:c r="F35" s="7" t="n">
        <x:v>3</x:v>
      </x:c>
    </x:row>
    <x:row r="36" ht="25" customHeight="1">
      <x:c r="A36" s="2" t="str">
        <x:v>ERV_outros</x:v>
      </x:c>
      <x:c r="B36" s="2" t="str">
        <x:v>ERV14</x:v>
      </x:c>
      <x:c r="C36" s="7" t="n">
        <x:v>0</x:v>
      </x:c>
      <x:c r="D36" s="7" t="n">
        <x:v>1</x:v>
      </x:c>
      <x:c r="E36" s="7" t="n">
        <x:f>C36+D36</x:f>
        <x:v>1</x:v>
      </x:c>
      <x:c r="F36" s="7" t="n">
        <x:v>3</x:v>
      </x:c>
    </x:row>
    <x:row r="37" ht="25" customHeight="1">
      <x:c r="A37" s="2" t="str">
        <x:v>ERV_outros</x:v>
      </x:c>
      <x:c r="B37" s="2" t="str">
        <x:v>ERV15</x:v>
      </x:c>
      <x:c r="C37" s="7" t="n">
        <x:v>0</x:v>
      </x:c>
      <x:c r="D37" s="7" t="n">
        <x:v>1</x:v>
      </x:c>
      <x:c r="E37" s="7" t="n">
        <x:f>C37+D37</x:f>
        <x:v>1</x:v>
      </x:c>
      <x:c r="F37" s="7" t="n">
        <x:v>1</x:v>
      </x:c>
    </x:row>
    <x:row r="38" ht="25" customHeight="1">
      <x:c r="A38" s="2" t="str">
        <x:v>ERV_outros</x:v>
      </x:c>
      <x:c r="B38" s="2" t="str">
        <x:v>ERV16</x:v>
      </x:c>
      <x:c r="C38" s="7" t="n">
        <x:v>0</x:v>
      </x:c>
      <x:c r="D38" s="7" t="n">
        <x:v>1</x:v>
      </x:c>
      <x:c r="E38" s="7" t="n">
        <x:f>C38+D38</x:f>
        <x:v>1</x:v>
      </x:c>
      <x:c r="F38" s="7" t="n">
        <x:v>3</x:v>
      </x:c>
    </x:row>
    <x:row r="39" ht="25" customHeight="1">
      <x:c r="A39" s="2" t="str">
        <x:v>ERV_outros</x:v>
      </x:c>
      <x:c r="B39" s="2" t="str">
        <x:v>ERV17</x:v>
      </x:c>
      <x:c r="C39" s="7" t="n">
        <x:v>0</x:v>
      </x:c>
      <x:c r="D39" s="7" t="n">
        <x:v>1</x:v>
      </x:c>
      <x:c r="E39" s="7" t="n">
        <x:f>C39+D39</x:f>
        <x:v>1</x:v>
      </x:c>
      <x:c r="F39" s="7" t="n">
        <x:v>3</x:v>
      </x:c>
    </x:row>
    <x:row r="40" ht="25" customHeight="1">
      <x:c r="A40" s="2" t="str">
        <x:v>ERV_outros</x:v>
      </x:c>
      <x:c r="B40" s="2" t="str">
        <x:v>ERV18</x:v>
      </x:c>
      <x:c r="C40" s="7" t="n">
        <x:v>0</x:v>
      </x:c>
      <x:c r="D40" s="7" t="n">
        <x:v>1</x:v>
      </x:c>
      <x:c r="E40" s="7" t="n">
        <x:f>C40+D40</x:f>
        <x:v>1</x:v>
      </x:c>
      <x:c r="F40" s="7" t="n">
        <x:v>3</x:v>
      </x:c>
    </x:row>
    <x:row r="41" ht="25" customHeight="1">
      <x:c r="A41" s="2" t="str">
        <x:v>ERV_outros</x:v>
      </x:c>
      <x:c r="B41" s="2" t="str">
        <x:v>ERV2</x:v>
      </x:c>
      <x:c r="C41" s="7" t="n">
        <x:v>0</x:v>
      </x:c>
      <x:c r="D41" s="7" t="n">
        <x:v>1</x:v>
      </x:c>
      <x:c r="E41" s="7" t="n">
        <x:f>C41+D41</x:f>
        <x:v>1</x:v>
      </x:c>
      <x:c r="F41" s="7" t="n">
        <x:v>5</x:v>
      </x:c>
    </x:row>
    <x:row r="42" ht="25" customHeight="1">
      <x:c r="A42" s="2" t="str">
        <x:v>ERV_outros</x:v>
      </x:c>
      <x:c r="B42" s="2" t="str">
        <x:v>ERV3</x:v>
      </x:c>
      <x:c r="C42" s="7" t="n">
        <x:v>0</x:v>
      </x:c>
      <x:c r="D42" s="7" t="n">
        <x:v>1</x:v>
      </x:c>
      <x:c r="E42" s="7" t="n">
        <x:f>C42+D42</x:f>
        <x:v>1</x:v>
      </x:c>
      <x:c r="F42" s="7" t="n">
        <x:v>5</x:v>
      </x:c>
    </x:row>
    <x:row r="43" ht="25" customHeight="1">
      <x:c r="A43" s="2" t="str">
        <x:v>ERV_outros</x:v>
      </x:c>
      <x:c r="B43" s="2" t="str">
        <x:v>ERV4</x:v>
      </x:c>
      <x:c r="C43" s="7" t="n">
        <x:v>0</x:v>
      </x:c>
      <x:c r="D43" s="7" t="n">
        <x:v>1</x:v>
      </x:c>
      <x:c r="E43" s="7" t="n">
        <x:f>C43+D43</x:f>
        <x:v>1</x:v>
      </x:c>
      <x:c r="F43" s="7" t="n">
        <x:v>4</x:v>
      </x:c>
    </x:row>
    <x:row r="44" ht="25" customHeight="1">
      <x:c r="A44" s="2" t="str">
        <x:v>ERV_outros</x:v>
      </x:c>
      <x:c r="B44" s="2" t="str">
        <x:v>ERV5</x:v>
      </x:c>
      <x:c r="C44" s="7" t="n">
        <x:v>0</x:v>
      </x:c>
      <x:c r="D44" s="7" t="n">
        <x:v>1</x:v>
      </x:c>
      <x:c r="E44" s="7" t="n">
        <x:f>C44+D44</x:f>
        <x:v>1</x:v>
      </x:c>
      <x:c r="F44" s="7" t="n">
        <x:v>4</x:v>
      </x:c>
    </x:row>
    <x:row r="45" ht="25" customHeight="1">
      <x:c r="A45" s="2" t="str">
        <x:v>ERV_outros</x:v>
      </x:c>
      <x:c r="B45" s="2" t="str">
        <x:v>ERV7</x:v>
      </x:c>
      <x:c r="C45" s="7" t="n">
        <x:v>0</x:v>
      </x:c>
      <x:c r="D45" s="7" t="n">
        <x:v>1</x:v>
      </x:c>
      <x:c r="E45" s="7" t="n">
        <x:f>C45+D45</x:f>
        <x:v>1</x:v>
      </x:c>
      <x:c r="F45" s="7" t="n">
        <x:v>3</x:v>
      </x:c>
    </x:row>
    <x:row r="46" ht="25" customHeight="1">
      <x:c r="A46" s="2" t="str">
        <x:v>ERV_outros</x:v>
      </x:c>
      <x:c r="B46" s="2" t="str">
        <x:v>ERV8</x:v>
      </x:c>
      <x:c r="C46" s="7" t="n">
        <x:v>0</x:v>
      </x:c>
      <x:c r="D46" s="7" t="n">
        <x:v>1</x:v>
      </x:c>
      <x:c r="E46" s="7" t="n">
        <x:f>C46+D46</x:f>
        <x:v>1</x:v>
      </x:c>
      <x:c r="F46" s="7" t="n">
        <x:v>4</x:v>
      </x:c>
    </x:row>
    <x:row r="47" ht="25" customHeight="1">
      <x:c r="A47" s="2" t="str">
        <x:v>ERV_outros</x:v>
      </x:c>
      <x:c r="B47" s="2" t="str">
        <x:v>ERV9</x:v>
      </x:c>
      <x:c r="C47" s="7" t="n">
        <x:v>0</x:v>
      </x:c>
      <x:c r="D47" s="7" t="n">
        <x:v>1</x:v>
      </x:c>
      <x:c r="E47" s="7" t="n">
        <x:f>C47+D47</x:f>
        <x:v>1</x:v>
      </x:c>
      <x:c r="F47" s="7" t="n">
        <x:v>4</x:v>
      </x:c>
    </x:row>
    <x:row r="48" ht="25" customHeight="1">
      <x:c r="A48" s="2" t="str">
        <x:v>SINE_referencias</x:v>
      </x:c>
      <x:c r="B48" s="2" t="str">
        <x:v>AmnSINE1</x:v>
      </x:c>
      <x:c r="C48" s="7" t="n">
        <x:v>0</x:v>
      </x:c>
      <x:c r="D48" s="7" t="n">
        <x:v>1</x:v>
      </x:c>
      <x:c r="E48" s="7" t="n">
        <x:f>C48+D48</x:f>
        <x:v>1</x:v>
      </x:c>
      <x:c r="F48" s="7" t="n">
        <x:v>1</x:v>
      </x:c>
    </x:row>
    <x:row r="49" ht="25" customHeight="1">
      <x:c r="A49" s="2" t="str">
        <x:v>SINE_referencias</x:v>
      </x:c>
      <x:c r="B49" s="2" t="str">
        <x:v>AmnSINE2</x:v>
      </x:c>
      <x:c r="C49" s="7" t="n">
        <x:v>0</x:v>
      </x:c>
      <x:c r="D49" s="7" t="n">
        <x:v>1</x:v>
      </x:c>
      <x:c r="E49" s="7" t="n">
        <x:f>C49+D49</x:f>
        <x:v>1</x:v>
      </x:c>
      <x:c r="F49" s="7" t="n">
        <x:v>1</x:v>
      </x:c>
    </x:row>
    <x:row r="50" ht="25" customHeight="1">
      <x:c r="A50" s="2" t="str">
        <x:v>SINE_referencias</x:v>
      </x:c>
      <x:c r="B50" s="2" t="str">
        <x:v>CHR-1</x:v>
      </x:c>
      <x:c r="C50" s="7" t="n">
        <x:v>0</x:v>
      </x:c>
      <x:c r="D50" s="7" t="n">
        <x:v>1</x:v>
      </x:c>
      <x:c r="E50" s="7" t="n">
        <x:f>C50+D50</x:f>
        <x:v>1</x:v>
      </x:c>
      <x:c r="F50" s="7" t="n">
        <x:v>1</x:v>
      </x:c>
    </x:row>
    <x:row r="51" ht="25" customHeight="1">
      <x:c r="A51" s="2" t="str">
        <x:v>SINE_referencias</x:v>
      </x:c>
      <x:c r="B51" s="2" t="str">
        <x:v>CHR-2</x:v>
      </x:c>
      <x:c r="C51" s="7" t="n">
        <x:v>0</x:v>
      </x:c>
      <x:c r="D51" s="7" t="n">
        <x:v>1</x:v>
      </x:c>
      <x:c r="E51" s="7" t="n">
        <x:f>C51+D51</x:f>
        <x:v>1</x:v>
      </x:c>
      <x:c r="F51" s="7" t="n">
        <x:v>1</x:v>
      </x:c>
    </x:row>
    <x:row r="52" ht="25" customHeight="1">
      <x:c r="A52" s="2" t="str">
        <x:v>SINE_referencias</x:v>
      </x:c>
      <x:c r="B52" s="2" t="str">
        <x:v>CHRL</x:v>
      </x:c>
      <x:c r="C52" s="7" t="n">
        <x:v>0</x:v>
      </x:c>
      <x:c r="D52" s="7" t="n">
        <x:v>1</x:v>
      </x:c>
      <x:c r="E52" s="7" t="n">
        <x:f>C52+D52</x:f>
        <x:v>1</x:v>
      </x:c>
      <x:c r="F52" s="7" t="n">
        <x:v>1</x:v>
      </x:c>
    </x:row>
    <x:row r="53" ht="25" customHeight="1">
      <x:c r="A53" s="2" t="str">
        <x:v>SINE_referencias</x:v>
      </x:c>
      <x:c r="B53" s="2" t="str">
        <x:v>CRP1</x:v>
      </x:c>
      <x:c r="C53" s="7" t="n">
        <x:v>0</x:v>
      </x:c>
      <x:c r="D53" s="7" t="n">
        <x:v>1</x:v>
      </x:c>
      <x:c r="E53" s="7" t="n">
        <x:f>C53+D53</x:f>
        <x:v>1</x:v>
      </x:c>
      <x:c r="F53" s="7" t="n">
        <x:v>1</x:v>
      </x:c>
    </x:row>
    <x:row r="54" ht="25" customHeight="1">
      <x:c r="A54" s="2" t="str">
        <x:v>SINE_referencias</x:v>
      </x:c>
      <x:c r="B54" s="2" t="str">
        <x:v>LFSINE_Vert</x:v>
      </x:c>
      <x:c r="C54" s="7" t="n">
        <x:v>0</x:v>
      </x:c>
      <x:c r="D54" s="7" t="n">
        <x:v>1</x:v>
      </x:c>
      <x:c r="E54" s="7" t="n">
        <x:f>C54+D54</x:f>
        <x:v>1</x:v>
      </x:c>
      <x:c r="F54" s="7" t="n">
        <x:v>1</x:v>
      </x:c>
    </x:row>
    <x:row r="55" ht="25" customHeight="1">
      <x:c r="A55" s="2" t="str">
        <x:v>SINE_referencias</x:v>
      </x:c>
      <x:c r="B55" s="2" t="str">
        <x:v>LmeSINE1c</x:v>
      </x:c>
      <x:c r="C55" s="7" t="n">
        <x:v>0</x:v>
      </x:c>
      <x:c r="D55" s="7" t="n">
        <x:v>1</x:v>
      </x:c>
      <x:c r="E55" s="7" t="n">
        <x:f>C55+D55</x:f>
        <x:v>1</x:v>
      </x:c>
      <x:c r="F55" s="7" t="n">
        <x:v>1</x:v>
      </x:c>
    </x:row>
    <x:row r="56" ht="25" customHeight="1">
      <x:c r="A56" s="2" t="str">
        <x:v>SINE_referencias</x:v>
      </x:c>
      <x:c r="B56" s="2" t="str">
        <x:v>MIR</x:v>
      </x:c>
      <x:c r="C56" s="7" t="n">
        <x:v>0</x:v>
      </x:c>
      <x:c r="D56" s="7" t="n">
        <x:v>1</x:v>
      </x:c>
      <x:c r="E56" s="7" t="n">
        <x:f>C56+D56</x:f>
        <x:v>1</x:v>
      </x:c>
      <x:c r="F56" s="7" t="n">
        <x:v>1</x:v>
      </x:c>
    </x:row>
    <x:row r="57" ht="25" customHeight="1">
      <x:c r="A57" s="2" t="str">
        <x:v>SINE_referencias</x:v>
      </x:c>
      <x:c r="B57" s="2" t="str">
        <x:v>MIR1_Amn</x:v>
      </x:c>
      <x:c r="C57" s="7" t="n">
        <x:v>0</x:v>
      </x:c>
      <x:c r="D57" s="7" t="n">
        <x:v>1</x:v>
      </x:c>
      <x:c r="E57" s="7" t="n">
        <x:f>C57+D57</x:f>
        <x:v>1</x:v>
      </x:c>
      <x:c r="F57" s="7" t="n">
        <x:v>1</x:v>
      </x:c>
    </x:row>
    <x:row r="58" ht="25" customHeight="1">
      <x:c r="A58" s="2" t="str">
        <x:v>SINE_referencias</x:v>
      </x:c>
      <x:c r="B58" s="2" t="str">
        <x:v>MIR3</x:v>
      </x:c>
      <x:c r="C58" s="7" t="n">
        <x:v>0</x:v>
      </x:c>
      <x:c r="D58" s="7" t="n">
        <x:v>1</x:v>
      </x:c>
      <x:c r="E58" s="7" t="n">
        <x:f>C58+D58</x:f>
        <x:v>1</x:v>
      </x:c>
      <x:c r="F58" s="7" t="n">
        <x:v>1</x:v>
      </x:c>
    </x:row>
    <x:row r="59" ht="25" customHeight="1">
      <x:c r="A59" s="2" t="str">
        <x:v>SINE_referencias</x:v>
      </x:c>
      <x:c r="B59" s="2" t="str">
        <x:v>MIRb</x:v>
      </x:c>
      <x:c r="C59" s="7" t="n">
        <x:v>0</x:v>
      </x:c>
      <x:c r="D59" s="7" t="n">
        <x:v>1</x:v>
      </x:c>
      <x:c r="E59" s="7" t="n">
        <x:f>C59+D59</x:f>
        <x:v>1</x:v>
      </x:c>
      <x:c r="F59" s="7" t="n">
        <x:v>1</x:v>
      </x:c>
    </x:row>
    <x:row r="60" ht="25" customHeight="1">
      <x:c r="A60" s="2" t="str">
        <x:v>SINE_referencias</x:v>
      </x:c>
      <x:c r="B60" s="2" t="str">
        <x:v>MIRc</x:v>
      </x:c>
      <x:c r="C60" s="7" t="n">
        <x:v>0</x:v>
      </x:c>
      <x:c r="D60" s="7" t="n">
        <x:v>1</x:v>
      </x:c>
      <x:c r="E60" s="7" t="n">
        <x:f>C60+D60</x:f>
        <x:v>1</x:v>
      </x:c>
      <x:c r="F60" s="7" t="n">
        <x:v>1</x:v>
      </x:c>
    </x:row>
    <x:row r="61" ht="25" customHeight="1">
      <x:c r="A61" s="2" t="str">
        <x:v>SINE_referencias</x:v>
      </x:c>
      <x:c r="B61" s="2" t="str">
        <x:v>MamSINE1</x:v>
      </x:c>
      <x:c r="C61" s="7" t="n">
        <x:v>0</x:v>
      </x:c>
      <x:c r="D61" s="7" t="n">
        <x:v>1</x:v>
      </x:c>
      <x:c r="E61" s="7" t="n">
        <x:f>C61+D61</x:f>
        <x:v>1</x:v>
      </x:c>
      <x:c r="F61" s="7" t="n">
        <x:v>1</x:v>
      </x:c>
    </x:row>
    <x:row r="62" ht="25" customHeight="1">
      <x:c r="A62" s="2" t="str">
        <x:v>SINE_transcritos</x:v>
      </x:c>
      <x:c r="B62" s="2" t="str">
        <x:v>SINE associado a transcrito</x:v>
      </x:c>
      <x:c r="C62" s="7" t="n">
        <x:v>3</x:v>
      </x:c>
      <x:c r="D62" s="7" t="n">
        <x:v>0</x:v>
      </x:c>
      <x:c r="E62" s="7" t="n">
        <x:f>C62+D62</x:f>
        <x:v>3</x:v>
      </x:c>
      <x:c r="F62" s="7" t="n">
        <x:v>5</x:v>
      </x:c>
    </x:row>
    <x:row r="63" ht="25" customHeight="1">
      <x:c r="A63" s="2" t="str">
        <x:v>Referencia_RNA</x:v>
      </x:c>
      <x:c r="B63" s="2" t="str">
        <x:v>7SLRNA</x:v>
      </x:c>
      <x:c r="C63" s="7" t="n">
        <x:v>0</x:v>
      </x:c>
      <x:c r="D63" s="7" t="n">
        <x:v>1</x:v>
      </x:c>
      <x:c r="E63" s="7" t="n">
        <x:f>C63+D63</x:f>
        <x:v>1</x:v>
      </x:c>
      <x:c r="F63" s="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eb8bb95735f406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9" hidden="0" customWidth="1"/>
    <x:col min="4" max="4" width="32" hidden="0" customWidth="1"/>
    <x:col min="5" max="5" width="40" hidden="0" customWidth="1"/>
    <x:col min="6" max="6" width="16" hidden="0" customWidth="1"/>
    <x:col min="7" max="7" width="16" hidden="0" customWidth="1"/>
    <x:col min="8" max="8" width="19" hidden="0" customWidth="1"/>
    <x:col min="9" max="9" width="62" hidden="0" customWidth="1"/>
    <x:col min="10" max="10" width="75" hidden="0" customWidth="1"/>
  </x:cols>
  <x:sheetData>
    <x:row r="1" ht="44" customHeight="1">
      <x:c r="A1" s="6" t="str">
        <x:v>Classe</x:v>
      </x:c>
      <x:c r="B1" s="6" t="str">
        <x:v>ID de origem</x:v>
      </x:c>
      <x:c r="C1" s="6" t="str">
        <x:v>Subtipo</x:v>
      </x:c>
      <x:c r="D1" s="6" t="str">
        <x:v>Tipo de material</x:v>
      </x:c>
      <x:c r="E1" s="6" t="str">
        <x:v>Modelo/subtipo detalhado</x:v>
      </x:c>
      <x:c r="F1" s="6" t="str">
        <x:v>Presente antes (0/1)</x:v>
      </x:c>
      <x:c r="G1" s="6" t="str">
        <x:v>Presente no artigo (0/1)</x:v>
      </x:c>
      <x:c r="H1" s="6" t="str">
        <x:v>Registros FASTA finais</x:v>
      </x:c>
      <x:c r="I1" s="6" t="str">
        <x:v>Regiões disponíveis</x:v>
      </x:c>
      <x:c r="J1" s="6" t="str">
        <x:v>Observação</x:v>
      </x:c>
    </x:row>
    <x:row r="2" ht="68" customHeight="1">
      <x:c r="A2" s="2" t="str">
        <x:v>ERV_outros</x:v>
      </x:c>
      <x:c r="B2" s="2" t="str">
        <x:v>ERV1</x:v>
      </x:c>
      <x:c r="C2" s="2" t="str">
        <x:v>ERV1</x:v>
      </x:c>
      <x:c r="D2" s="8" t="str">
        <x:v>Consenso/representante</x:v>
      </x:c>
      <x:c r="E2" s="8" t="str">
        <x:v>ERV1</x:v>
      </x:c>
      <x:c r="F2" s="9" t="n">
        <x:v>0</x:v>
      </x:c>
      <x:c r="G2" s="9" t="n">
        <x:v>1</x:v>
      </x:c>
      <x:c r="H2" s="9" t="n">
        <x:v>5</x:v>
      </x:c>
      <x:c r="I2" s="8" t="str">
        <x:v>LTR_nao_posicionada; ORF_gag; ORF_pol; completas_fornecidas; remanescente_nao_anotado</x:v>
      </x:c>
      <x:c r="J2" s="8" t="str"/>
    </x:row>
    <x:row r="3" ht="68" customHeight="1">
      <x:c r="A3" s="2" t="str">
        <x:v>ERV_outros</x:v>
      </x:c>
      <x:c r="B3" s="2" t="str">
        <x:v>ERV10</x:v>
      </x:c>
      <x:c r="C3" s="2" t="str">
        <x:v>ERV10</x:v>
      </x:c>
      <x:c r="D3" s="8" t="str">
        <x:v>Consenso/representante</x:v>
      </x:c>
      <x:c r="E3" s="8" t="str">
        <x:v>ERV10</x:v>
      </x:c>
      <x:c r="F3" s="9" t="n">
        <x:v>0</x:v>
      </x:c>
      <x:c r="G3" s="9" t="n">
        <x:v>1</x:v>
      </x:c>
      <x:c r="H3" s="9" t="n">
        <x:v>4</x:v>
      </x:c>
      <x:c r="I3" s="8" t="str">
        <x:v>LTR_nao_posicionada; ORF_pol; completas_fornecidas; remanescente_nao_anotado</x:v>
      </x:c>
      <x:c r="J3" s="8" t="str"/>
    </x:row>
    <x:row r="4" ht="68" customHeight="1">
      <x:c r="A4" s="2" t="str">
        <x:v>ERV_outros</x:v>
      </x:c>
      <x:c r="B4" s="2" t="str">
        <x:v>ERV11</x:v>
      </x:c>
      <x:c r="C4" s="2" t="str">
        <x:v>ERV11</x:v>
      </x:c>
      <x:c r="D4" s="8" t="str">
        <x:v>Consenso/representante</x:v>
      </x:c>
      <x:c r="E4" s="8" t="str">
        <x:v>ERV11</x:v>
      </x:c>
      <x:c r="F4" s="9" t="n">
        <x:v>0</x:v>
      </x:c>
      <x:c r="G4" s="9" t="n">
        <x:v>1</x:v>
      </x:c>
      <x:c r="H4" s="9" t="n">
        <x:v>3</x:v>
      </x:c>
      <x:c r="I4" s="8" t="str">
        <x:v>LTR_nao_posicionada; completas_fornecidas; remanescente_nao_anotado</x:v>
      </x:c>
      <x:c r="J4" s="8" t="str"/>
    </x:row>
    <x:row r="5" ht="68" customHeight="1">
      <x:c r="A5" s="2" t="str">
        <x:v>ERV_outros</x:v>
      </x:c>
      <x:c r="B5" s="2" t="str">
        <x:v>ERV12</x:v>
      </x:c>
      <x:c r="C5" s="2" t="str">
        <x:v>ERV12</x:v>
      </x:c>
      <x:c r="D5" s="8" t="str">
        <x:v>Consenso/representante</x:v>
      </x:c>
      <x:c r="E5" s="8" t="str">
        <x:v>ERV12</x:v>
      </x:c>
      <x:c r="F5" s="9" t="n">
        <x:v>0</x:v>
      </x:c>
      <x:c r="G5" s="9" t="n">
        <x:v>1</x:v>
      </x:c>
      <x:c r="H5" s="9" t="n">
        <x:v>4</x:v>
      </x:c>
      <x:c r="I5" s="8" t="str">
        <x:v>LTR_nao_posicionada; ORF_pol; completas_fornecidas; remanescente_nao_anotado</x:v>
      </x:c>
      <x:c r="J5" s="8" t="str"/>
    </x:row>
    <x:row r="6" ht="68" customHeight="1">
      <x:c r="A6" s="2" t="str">
        <x:v>ERV_outros</x:v>
      </x:c>
      <x:c r="B6" s="2" t="str">
        <x:v>ERV13</x:v>
      </x:c>
      <x:c r="C6" s="2" t="str">
        <x:v>ERV13</x:v>
      </x:c>
      <x:c r="D6" s="8" t="str">
        <x:v>Consenso/representante</x:v>
      </x:c>
      <x:c r="E6" s="8" t="str">
        <x:v>ERV13</x:v>
      </x:c>
      <x:c r="F6" s="9" t="n">
        <x:v>0</x:v>
      </x:c>
      <x:c r="G6" s="9" t="n">
        <x:v>1</x:v>
      </x:c>
      <x:c r="H6" s="9" t="n">
        <x:v>3</x:v>
      </x:c>
      <x:c r="I6" s="8" t="str">
        <x:v>LTR_nao_posicionada; completas_fornecidas; remanescente_nao_anotado</x:v>
      </x:c>
      <x:c r="J6" s="8" t="str"/>
    </x:row>
    <x:row r="7" ht="68" customHeight="1">
      <x:c r="A7" s="2" t="str">
        <x:v>ERV_outros</x:v>
      </x:c>
      <x:c r="B7" s="2" t="str">
        <x:v>ERV14</x:v>
      </x:c>
      <x:c r="C7" s="2" t="str">
        <x:v>ERV14</x:v>
      </x:c>
      <x:c r="D7" s="8" t="str">
        <x:v>Consenso/representante</x:v>
      </x:c>
      <x:c r="E7" s="8" t="str">
        <x:v>ERV14</x:v>
      </x:c>
      <x:c r="F7" s="9" t="n">
        <x:v>0</x:v>
      </x:c>
      <x:c r="G7" s="9" t="n">
        <x:v>1</x:v>
      </x:c>
      <x:c r="H7" s="9" t="n">
        <x:v>3</x:v>
      </x:c>
      <x:c r="I7" s="8" t="str">
        <x:v>LTR_nao_posicionada; completas_fornecidas; remanescente_nao_anotado</x:v>
      </x:c>
      <x:c r="J7" s="8" t="str"/>
    </x:row>
    <x:row r="8" ht="68" customHeight="1">
      <x:c r="A8" s="2" t="str">
        <x:v>ERV_outros</x:v>
      </x:c>
      <x:c r="B8" s="2" t="str">
        <x:v>ERV15</x:v>
      </x:c>
      <x:c r="C8" s="2" t="str">
        <x:v>ERV15</x:v>
      </x:c>
      <x:c r="D8" s="8" t="str">
        <x:v>Consenso/representante</x:v>
      </x:c>
      <x:c r="E8" s="8" t="str">
        <x:v>ERV15</x:v>
      </x:c>
      <x:c r="F8" s="9" t="n">
        <x:v>0</x:v>
      </x:c>
      <x:c r="G8" s="9" t="n">
        <x:v>1</x:v>
      </x:c>
      <x:c r="H8" s="9" t="n">
        <x:v>1</x:v>
      </x:c>
      <x:c r="I8" s="8" t="str">
        <x:v>completas_fornecidas</x:v>
      </x:c>
      <x:c r="J8" s="8" t="str"/>
    </x:row>
    <x:row r="9" ht="68" customHeight="1">
      <x:c r="A9" s="2" t="str">
        <x:v>ERV_outros</x:v>
      </x:c>
      <x:c r="B9" s="2" t="str">
        <x:v>ERV16</x:v>
      </x:c>
      <x:c r="C9" s="2" t="str">
        <x:v>ERV16</x:v>
      </x:c>
      <x:c r="D9" s="8" t="str">
        <x:v>Consenso/representante</x:v>
      </x:c>
      <x:c r="E9" s="8" t="str">
        <x:v>ERV16</x:v>
      </x:c>
      <x:c r="F9" s="9" t="n">
        <x:v>0</x:v>
      </x:c>
      <x:c r="G9" s="9" t="n">
        <x:v>1</x:v>
      </x:c>
      <x:c r="H9" s="9" t="n">
        <x:v>3</x:v>
      </x:c>
      <x:c r="I9" s="8" t="str">
        <x:v>LTR_nao_posicionada; completas_fornecidas; remanescente_nao_anotado</x:v>
      </x:c>
      <x:c r="J9" s="8" t="str"/>
    </x:row>
    <x:row r="10" ht="68" customHeight="1">
      <x:c r="A10" s="2" t="str">
        <x:v>ERV_outros</x:v>
      </x:c>
      <x:c r="B10" s="2" t="str">
        <x:v>ERV17</x:v>
      </x:c>
      <x:c r="C10" s="2" t="str">
        <x:v>ERV17</x:v>
      </x:c>
      <x:c r="D10" s="8" t="str">
        <x:v>Consenso/representante</x:v>
      </x:c>
      <x:c r="E10" s="8" t="str">
        <x:v>ERV17</x:v>
      </x:c>
      <x:c r="F10" s="9" t="n">
        <x:v>0</x:v>
      </x:c>
      <x:c r="G10" s="9" t="n">
        <x:v>1</x:v>
      </x:c>
      <x:c r="H10" s="9" t="n">
        <x:v>3</x:v>
      </x:c>
      <x:c r="I10" s="8" t="str">
        <x:v>LTR_nao_posicionada; completas_fornecidas; remanescente_nao_anotado</x:v>
      </x:c>
      <x:c r="J10" s="8" t="str"/>
    </x:row>
    <x:row r="11" ht="68" customHeight="1">
      <x:c r="A11" s="2" t="str">
        <x:v>ERV_outros</x:v>
      </x:c>
      <x:c r="B11" s="2" t="str">
        <x:v>ERV18</x:v>
      </x:c>
      <x:c r="C11" s="2" t="str">
        <x:v>ERV18</x:v>
      </x:c>
      <x:c r="D11" s="8" t="str">
        <x:v>Consenso/representante</x:v>
      </x:c>
      <x:c r="E11" s="8" t="str">
        <x:v>ERV18</x:v>
      </x:c>
      <x:c r="F11" s="9" t="n">
        <x:v>0</x:v>
      </x:c>
      <x:c r="G11" s="9" t="n">
        <x:v>1</x:v>
      </x:c>
      <x:c r="H11" s="9" t="n">
        <x:v>3</x:v>
      </x:c>
      <x:c r="I11" s="8" t="str">
        <x:v>LTR_nao_posicionada; completas_fornecidas; remanescente_nao_anotado</x:v>
      </x:c>
      <x:c r="J11" s="8" t="str"/>
    </x:row>
    <x:row r="12" ht="68" customHeight="1">
      <x:c r="A12" s="2" t="str">
        <x:v>ERV_outros</x:v>
      </x:c>
      <x:c r="B12" s="2" t="str">
        <x:v>ERV2</x:v>
      </x:c>
      <x:c r="C12" s="2" t="str">
        <x:v>ERV2</x:v>
      </x:c>
      <x:c r="D12" s="8" t="str">
        <x:v>Consenso/representante</x:v>
      </x:c>
      <x:c r="E12" s="8" t="str">
        <x:v>ERV2</x:v>
      </x:c>
      <x:c r="F12" s="9" t="n">
        <x:v>0</x:v>
      </x:c>
      <x:c r="G12" s="9" t="n">
        <x:v>1</x:v>
      </x:c>
      <x:c r="H12" s="9" t="n">
        <x:v>5</x:v>
      </x:c>
      <x:c r="I12" s="8" t="str">
        <x:v>LTR_nao_posicionada; ORF_gag; ORF_pol; completas_fornecidas; remanescente_nao_anotado</x:v>
      </x:c>
      <x:c r="J12" s="8" t="str"/>
    </x:row>
    <x:row r="13" ht="68" customHeight="1">
      <x:c r="A13" s="2" t="str">
        <x:v>ERV_outros</x:v>
      </x:c>
      <x:c r="B13" s="2" t="str">
        <x:v>ERV3</x:v>
      </x:c>
      <x:c r="C13" s="2" t="str">
        <x:v>ERV3</x:v>
      </x:c>
      <x:c r="D13" s="8" t="str">
        <x:v>Consenso/representante</x:v>
      </x:c>
      <x:c r="E13" s="8" t="str">
        <x:v>ERV3</x:v>
      </x:c>
      <x:c r="F13" s="9" t="n">
        <x:v>0</x:v>
      </x:c>
      <x:c r="G13" s="9" t="n">
        <x:v>1</x:v>
      </x:c>
      <x:c r="H13" s="9" t="n">
        <x:v>5</x:v>
      </x:c>
      <x:c r="I13" s="8" t="str">
        <x:v>LTR_nao_posicionada; ORF_gag; ORF_pol; completas_fornecidas; remanescente_nao_anotado</x:v>
      </x:c>
      <x:c r="J13" s="8" t="str"/>
    </x:row>
    <x:row r="14" ht="68" customHeight="1">
      <x:c r="A14" s="2" t="str">
        <x:v>ERV_outros</x:v>
      </x:c>
      <x:c r="B14" s="2" t="str">
        <x:v>ERV4</x:v>
      </x:c>
      <x:c r="C14" s="2" t="str">
        <x:v>ERV4</x:v>
      </x:c>
      <x:c r="D14" s="8" t="str">
        <x:v>Consenso/representante</x:v>
      </x:c>
      <x:c r="E14" s="8" t="str">
        <x:v>ERV4</x:v>
      </x:c>
      <x:c r="F14" s="9" t="n">
        <x:v>0</x:v>
      </x:c>
      <x:c r="G14" s="9" t="n">
        <x:v>1</x:v>
      </x:c>
      <x:c r="H14" s="9" t="n">
        <x:v>4</x:v>
      </x:c>
      <x:c r="I14" s="8" t="str">
        <x:v>LTR_nao_posicionada; ORF_pol; completas_fornecidas; remanescente_nao_anotado</x:v>
      </x:c>
      <x:c r="J14" s="8" t="str"/>
    </x:row>
    <x:row r="15" ht="68" customHeight="1">
      <x:c r="A15" s="2" t="str">
        <x:v>ERV_outros</x:v>
      </x:c>
      <x:c r="B15" s="2" t="str">
        <x:v>ERV5</x:v>
      </x:c>
      <x:c r="C15" s="2" t="str">
        <x:v>ERV5</x:v>
      </x:c>
      <x:c r="D15" s="8" t="str">
        <x:v>Consenso/representante</x:v>
      </x:c>
      <x:c r="E15" s="8" t="str">
        <x:v>ERV5</x:v>
      </x:c>
      <x:c r="F15" s="9" t="n">
        <x:v>0</x:v>
      </x:c>
      <x:c r="G15" s="9" t="n">
        <x:v>1</x:v>
      </x:c>
      <x:c r="H15" s="9" t="n">
        <x:v>4</x:v>
      </x:c>
      <x:c r="I15" s="8" t="str">
        <x:v>LTR_nao_posicionada; ORF_pol; completas_fornecidas; remanescente_nao_anotado</x:v>
      </x:c>
      <x:c r="J15" s="8" t="str"/>
    </x:row>
    <x:row r="16" ht="68" customHeight="1">
      <x:c r="A16" s="2" t="str">
        <x:v>ERV_outros</x:v>
      </x:c>
      <x:c r="B16" s="2" t="str">
        <x:v>ERV7</x:v>
      </x:c>
      <x:c r="C16" s="2" t="str">
        <x:v>ERV7</x:v>
      </x:c>
      <x:c r="D16" s="8" t="str">
        <x:v>Consenso/representante</x:v>
      </x:c>
      <x:c r="E16" s="8" t="str">
        <x:v>ERV7</x:v>
      </x:c>
      <x:c r="F16" s="9" t="n">
        <x:v>0</x:v>
      </x:c>
      <x:c r="G16" s="9" t="n">
        <x:v>1</x:v>
      </x:c>
      <x:c r="H16" s="9" t="n">
        <x:v>3</x:v>
      </x:c>
      <x:c r="I16" s="8" t="str">
        <x:v>LTR_nao_posicionada; completas_fornecidas; remanescente_nao_anotado</x:v>
      </x:c>
      <x:c r="J16" s="8" t="str"/>
    </x:row>
    <x:row r="17" ht="68" customHeight="1">
      <x:c r="A17" s="2" t="str">
        <x:v>ERV_outros</x:v>
      </x:c>
      <x:c r="B17" s="2" t="str">
        <x:v>ERV8</x:v>
      </x:c>
      <x:c r="C17" s="2" t="str">
        <x:v>ERV8</x:v>
      </x:c>
      <x:c r="D17" s="8" t="str">
        <x:v>Consenso/representante</x:v>
      </x:c>
      <x:c r="E17" s="8" t="str">
        <x:v>ERV8</x:v>
      </x:c>
      <x:c r="F17" s="9" t="n">
        <x:v>0</x:v>
      </x:c>
      <x:c r="G17" s="9" t="n">
        <x:v>1</x:v>
      </x:c>
      <x:c r="H17" s="9" t="n">
        <x:v>4</x:v>
      </x:c>
      <x:c r="I17" s="8" t="str">
        <x:v>LTR_nao_posicionada; ORF_pol; completas_fornecidas; remanescente_nao_anotado</x:v>
      </x:c>
      <x:c r="J17" s="8" t="str"/>
    </x:row>
    <x:row r="18" ht="68" customHeight="1">
      <x:c r="A18" s="2" t="str">
        <x:v>ERV_outros</x:v>
      </x:c>
      <x:c r="B18" s="2" t="str">
        <x:v>ERV9</x:v>
      </x:c>
      <x:c r="C18" s="2" t="str">
        <x:v>ERV9</x:v>
      </x:c>
      <x:c r="D18" s="8" t="str">
        <x:v>Consenso/representante</x:v>
      </x:c>
      <x:c r="E18" s="8" t="str">
        <x:v>ERV9</x:v>
      </x:c>
      <x:c r="F18" s="9" t="n">
        <x:v>0</x:v>
      </x:c>
      <x:c r="G18" s="9" t="n">
        <x:v>1</x:v>
      </x:c>
      <x:c r="H18" s="9" t="n">
        <x:v>4</x:v>
      </x:c>
      <x:c r="I18" s="8" t="str">
        <x:v>LTR_nao_posicionada; ORF_pol; completas_fornecidas; remanescente_nao_anotado</x:v>
      </x:c>
      <x:c r="J18" s="8" t="str"/>
    </x:row>
    <x:row r="19" ht="68" customHeight="1">
      <x:c r="A19" s="2" t="str">
        <x:v>LINE</x:v>
      </x:c>
      <x:c r="B19" s="2" t="str">
        <x:v>L1A1</x:v>
      </x:c>
      <x:c r="C19" s="2" t="str">
        <x:v>L1A</x:v>
      </x:c>
      <x:c r="D19" s="8" t="str">
        <x:v>Consenso/representante</x:v>
      </x:c>
      <x:c r="E19" s="8" t="str">
        <x:v>L1A1</x:v>
      </x:c>
      <x:c r="F19" s="9" t="n">
        <x:v>1</x:v>
      </x:c>
      <x:c r="G19" s="9" t="n">
        <x:v>1</x:v>
      </x:c>
      <x:c r="H19" s="9" t="n">
        <x:v>12</x:v>
      </x:c>
      <x:c r="I19" s="8" t="str">
        <x:v>3UTR; 5UTR; ORF1; ORF2; completas_fornecidas; intergenica; tail</x:v>
      </x:c>
      <x:c r="J19" s="8" t="str"/>
    </x:row>
    <x:row r="20" ht="68" customHeight="1">
      <x:c r="A20" s="2" t="str">
        <x:v>LINE</x:v>
      </x:c>
      <x:c r="B20" s="2" t="str">
        <x:v>L1A2</x:v>
      </x:c>
      <x:c r="C20" s="2" t="str">
        <x:v>L1A</x:v>
      </x:c>
      <x:c r="D20" s="8" t="str">
        <x:v>Consenso/representante</x:v>
      </x:c>
      <x:c r="E20" s="8" t="str">
        <x:v>L1A2</x:v>
      </x:c>
      <x:c r="F20" s="9" t="n">
        <x:v>1</x:v>
      </x:c>
      <x:c r="G20" s="9" t="n">
        <x:v>1</x:v>
      </x:c>
      <x:c r="H20" s="9" t="n">
        <x:v>12</x:v>
      </x:c>
      <x:c r="I20" s="8" t="str">
        <x:v>3UTR; 5UTR; ORF1; ORF2; completas_fornecidas; intergenica; tail</x:v>
      </x:c>
      <x:c r="J20" s="8" t="str"/>
    </x:row>
    <x:row r="21" ht="68" customHeight="1">
      <x:c r="A21" s="2" t="str">
        <x:v>LINE</x:v>
      </x:c>
      <x:c r="B21" s="2" t="str">
        <x:v>L1A3</x:v>
      </x:c>
      <x:c r="C21" s="2" t="str">
        <x:v>L1A</x:v>
      </x:c>
      <x:c r="D21" s="8" t="str">
        <x:v>Consenso/representante</x:v>
      </x:c>
      <x:c r="E21" s="8" t="str">
        <x:v>L1A3</x:v>
      </x:c>
      <x:c r="F21" s="9" t="n">
        <x:v>1</x:v>
      </x:c>
      <x:c r="G21" s="9" t="n">
        <x:v>1</x:v>
      </x:c>
      <x:c r="H21" s="9" t="n">
        <x:v>12</x:v>
      </x:c>
      <x:c r="I21" s="8" t="str">
        <x:v>3UTR; 5UTR; ORF1; ORF2; completas_fornecidas; intergenica; tail</x:v>
      </x:c>
      <x:c r="J21" s="8" t="str"/>
    </x:row>
    <x:row r="22" ht="68" customHeight="1">
      <x:c r="A22" s="2" t="str">
        <x:v>LINE</x:v>
      </x:c>
      <x:c r="B22" s="2" t="str">
        <x:v>L1A4</x:v>
      </x:c>
      <x:c r="C22" s="2" t="str">
        <x:v>L1A</x:v>
      </x:c>
      <x:c r="D22" s="8" t="str">
        <x:v>Consenso/representante</x:v>
      </x:c>
      <x:c r="E22" s="8" t="str">
        <x:v>L1A4</x:v>
      </x:c>
      <x:c r="F22" s="9" t="n">
        <x:v>1</x:v>
      </x:c>
      <x:c r="G22" s="9" t="n">
        <x:v>1</x:v>
      </x:c>
      <x:c r="H22" s="9" t="n">
        <x:v>10</x:v>
      </x:c>
      <x:c r="I22" s="8" t="str">
        <x:v>3UTR; 5UTR; ORF1; ORF2; completas_fornecidas; intergenica; tail</x:v>
      </x:c>
      <x:c r="J22" s="8" t="str"/>
    </x:row>
    <x:row r="23" ht="68" customHeight="1">
      <x:c r="A23" s="2" t="str">
        <x:v>LINE</x:v>
      </x:c>
      <x:c r="B23" s="2" t="str">
        <x:v>L1A5</x:v>
      </x:c>
      <x:c r="C23" s="2" t="str">
        <x:v>L1A</x:v>
      </x:c>
      <x:c r="D23" s="8" t="str">
        <x:v>Consenso/representante</x:v>
      </x:c>
      <x:c r="E23" s="8" t="str">
        <x:v>L1A5</x:v>
      </x:c>
      <x:c r="F23" s="9" t="n">
        <x:v>1</x:v>
      </x:c>
      <x:c r="G23" s="9" t="n">
        <x:v>1</x:v>
      </x:c>
      <x:c r="H23" s="9" t="n">
        <x:v>7</x:v>
      </x:c>
      <x:c r="I23" s="8" t="str">
        <x:v>3UTR; 5UTR; ORF1; ORF2; intergenica; nao_separadas; tail</x:v>
      </x:c>
      <x:c r="J23" s="8" t="str"/>
    </x:row>
    <x:row r="24" ht="68" customHeight="1">
      <x:c r="A24" s="2" t="str">
        <x:v>LINE</x:v>
      </x:c>
      <x:c r="B24" s="2" t="str">
        <x:v>L1A6</x:v>
      </x:c>
      <x:c r="C24" s="2" t="str">
        <x:v>L1A</x:v>
      </x:c>
      <x:c r="D24" s="8" t="str">
        <x:v>Consenso/representante</x:v>
      </x:c>
      <x:c r="E24" s="8" t="str">
        <x:v>L1A6</x:v>
      </x:c>
      <x:c r="F24" s="9" t="n">
        <x:v>1</x:v>
      </x:c>
      <x:c r="G24" s="9" t="n">
        <x:v>1</x:v>
      </x:c>
      <x:c r="H24" s="9" t="n">
        <x:v>5</x:v>
      </x:c>
      <x:c r="I24" s="8" t="str">
        <x:v>5UTR; ORF1; completas_fornecidas; nao_separadas; tail</x:v>
      </x:c>
      <x:c r="J24" s="8" t="str"/>
    </x:row>
    <x:row r="25" ht="68" customHeight="1">
      <x:c r="A25" s="2" t="str">
        <x:v>LINE</x:v>
      </x:c>
      <x:c r="B25" s="2" t="str">
        <x:v>L1A7</x:v>
      </x:c>
      <x:c r="C25" s="2" t="str">
        <x:v>L1A</x:v>
      </x:c>
      <x:c r="D25" s="8" t="str">
        <x:v>Consenso/representante</x:v>
      </x:c>
      <x:c r="E25" s="8" t="str">
        <x:v>L1A7</x:v>
      </x:c>
      <x:c r="F25" s="9" t="n">
        <x:v>1</x:v>
      </x:c>
      <x:c r="G25" s="9" t="n">
        <x:v>1</x:v>
      </x:c>
      <x:c r="H25" s="9" t="n">
        <x:v>12</x:v>
      </x:c>
      <x:c r="I25" s="8" t="str">
        <x:v>3UTR; 5UTR; ORF1; ORF2; completas_fornecidas; intergenica; tail</x:v>
      </x:c>
      <x:c r="J25" s="8" t="str"/>
    </x:row>
    <x:row r="26" ht="68" customHeight="1">
      <x:c r="A26" s="2" t="str">
        <x:v>LINE</x:v>
      </x:c>
      <x:c r="B26" s="2" t="str">
        <x:v>L1B1</x:v>
      </x:c>
      <x:c r="C26" s="2" t="str">
        <x:v>L1B</x:v>
      </x:c>
      <x:c r="D26" s="8" t="str">
        <x:v>Consenso/representante</x:v>
      </x:c>
      <x:c r="E26" s="8" t="str">
        <x:v>L1B1</x:v>
      </x:c>
      <x:c r="F26" s="9" t="n">
        <x:v>1</x:v>
      </x:c>
      <x:c r="G26" s="9" t="n">
        <x:v>1</x:v>
      </x:c>
      <x:c r="H26" s="9" t="n">
        <x:v>12</x:v>
      </x:c>
      <x:c r="I26" s="8" t="str">
        <x:v>3UTR; 5UTR; ORF1; ORF2; completas_fornecidas; intergenica; tail</x:v>
      </x:c>
      <x:c r="J26" s="8" t="str"/>
    </x:row>
    <x:row r="27" ht="68" customHeight="1">
      <x:c r="A27" s="2" t="str">
        <x:v>LINE</x:v>
      </x:c>
      <x:c r="B27" s="2" t="str">
        <x:v>L1B10</x:v>
      </x:c>
      <x:c r="C27" s="2" t="str">
        <x:v>L1B</x:v>
      </x:c>
      <x:c r="D27" s="8" t="str">
        <x:v>Consenso/representante</x:v>
      </x:c>
      <x:c r="E27" s="8" t="str">
        <x:v>L1B10</x:v>
      </x:c>
      <x:c r="F27" s="9" t="n">
        <x:v>1</x:v>
      </x:c>
      <x:c r="G27" s="9" t="n">
        <x:v>1</x:v>
      </x:c>
      <x:c r="H27" s="9" t="n">
        <x:v>7</x:v>
      </x:c>
      <x:c r="I27" s="8" t="str">
        <x:v>3UTR; 5UTR; ORF1; ORF2; intergenica; nao_separadas; tail</x:v>
      </x:c>
      <x:c r="J27" s="8" t="str"/>
    </x:row>
    <x:row r="28" ht="68" customHeight="1">
      <x:c r="A28" s="2" t="str">
        <x:v>LINE</x:v>
      </x:c>
      <x:c r="B28" s="2" t="str">
        <x:v>L1B11</x:v>
      </x:c>
      <x:c r="C28" s="2" t="str">
        <x:v>L1B</x:v>
      </x:c>
      <x:c r="D28" s="8" t="str">
        <x:v>Consenso/representante</x:v>
      </x:c>
      <x:c r="E28" s="8" t="str">
        <x:v>L1B11</x:v>
      </x:c>
      <x:c r="F28" s="9" t="n">
        <x:v>1</x:v>
      </x:c>
      <x:c r="G28" s="9" t="n">
        <x:v>1</x:v>
      </x:c>
      <x:c r="H28" s="9" t="n">
        <x:v>10</x:v>
      </x:c>
      <x:c r="I28" s="8" t="str">
        <x:v>3UTR; 5UTR; ORF1; ORF2; completas_fornecidas; intergenica; tail</x:v>
      </x:c>
      <x:c r="J28" s="8" t="str"/>
    </x:row>
    <x:row r="29" ht="68" customHeight="1">
      <x:c r="A29" s="2" t="str">
        <x:v>LINE</x:v>
      </x:c>
      <x:c r="B29" s="2" t="str">
        <x:v>L1B12</x:v>
      </x:c>
      <x:c r="C29" s="2" t="str">
        <x:v>L1B</x:v>
      </x:c>
      <x:c r="D29" s="8" t="str">
        <x:v>Consenso/representante</x:v>
      </x:c>
      <x:c r="E29" s="8" t="str">
        <x:v>L1B12</x:v>
      </x:c>
      <x:c r="F29" s="9" t="n">
        <x:v>1</x:v>
      </x:c>
      <x:c r="G29" s="9" t="n">
        <x:v>1</x:v>
      </x:c>
      <x:c r="H29" s="9" t="n">
        <x:v>7</x:v>
      </x:c>
      <x:c r="I29" s="8" t="str">
        <x:v>3UTR; 5UTR; ORF1; ORF2; intergenica; nao_separadas; tail</x:v>
      </x:c>
      <x:c r="J29" s="8" t="str"/>
    </x:row>
    <x:row r="30" ht="68" customHeight="1">
      <x:c r="A30" s="2" t="str">
        <x:v>LINE</x:v>
      </x:c>
      <x:c r="B30" s="2" t="str">
        <x:v>L1B2</x:v>
      </x:c>
      <x:c r="C30" s="2" t="str">
        <x:v>L1B</x:v>
      </x:c>
      <x:c r="D30" s="8" t="str">
        <x:v>Consenso/representante</x:v>
      </x:c>
      <x:c r="E30" s="8" t="str">
        <x:v>L1B2</x:v>
      </x:c>
      <x:c r="F30" s="9" t="n">
        <x:v>1</x:v>
      </x:c>
      <x:c r="G30" s="9" t="n">
        <x:v>1</x:v>
      </x:c>
      <x:c r="H30" s="9" t="n">
        <x:v>10</x:v>
      </x:c>
      <x:c r="I30" s="8" t="str">
        <x:v>3UTR; 5UTR; ORF1; ORF2; completas_fornecidas; intergenica; tail</x:v>
      </x:c>
      <x:c r="J30" s="8" t="str"/>
    </x:row>
    <x:row r="31" ht="68" customHeight="1">
      <x:c r="A31" s="2" t="str">
        <x:v>LINE</x:v>
      </x:c>
      <x:c r="B31" s="2" t="str">
        <x:v>L1B3</x:v>
      </x:c>
      <x:c r="C31" s="2" t="str">
        <x:v>L1B</x:v>
      </x:c>
      <x:c r="D31" s="8" t="str">
        <x:v>Consenso/representante</x:v>
      </x:c>
      <x:c r="E31" s="8" t="str">
        <x:v>L1B3</x:v>
      </x:c>
      <x:c r="F31" s="9" t="n">
        <x:v>1</x:v>
      </x:c>
      <x:c r="G31" s="9" t="n">
        <x:v>1</x:v>
      </x:c>
      <x:c r="H31" s="9" t="n">
        <x:v>10</x:v>
      </x:c>
      <x:c r="I31" s="8" t="str">
        <x:v>3UTR; 5UTR; ORF1; ORF2; completas_fornecidas; intergenica; tail</x:v>
      </x:c>
      <x:c r="J31" s="8" t="str"/>
    </x:row>
    <x:row r="32" ht="68" customHeight="1">
      <x:c r="A32" s="2" t="str">
        <x:v>LINE</x:v>
      </x:c>
      <x:c r="B32" s="2" t="str">
        <x:v>L1B4</x:v>
      </x:c>
      <x:c r="C32" s="2" t="str">
        <x:v>L1B</x:v>
      </x:c>
      <x:c r="D32" s="8" t="str">
        <x:v>Consenso/representante</x:v>
      </x:c>
      <x:c r="E32" s="8" t="str">
        <x:v>L1B4</x:v>
      </x:c>
      <x:c r="F32" s="9" t="n">
        <x:v>1</x:v>
      </x:c>
      <x:c r="G32" s="9" t="n">
        <x:v>1</x:v>
      </x:c>
      <x:c r="H32" s="9" t="n">
        <x:v>7</x:v>
      </x:c>
      <x:c r="I32" s="8" t="str">
        <x:v>3UTR; 5UTR; ORF1; ORF2; intergenica; nao_separadas; tail</x:v>
      </x:c>
      <x:c r="J32" s="8" t="str"/>
    </x:row>
    <x:row r="33" ht="68" customHeight="1">
      <x:c r="A33" s="2" t="str">
        <x:v>LINE</x:v>
      </x:c>
      <x:c r="B33" s="2" t="str">
        <x:v>L1B5</x:v>
      </x:c>
      <x:c r="C33" s="2" t="str">
        <x:v>L1B</x:v>
      </x:c>
      <x:c r="D33" s="8" t="str">
        <x:v>Consenso/representante</x:v>
      </x:c>
      <x:c r="E33" s="8" t="str">
        <x:v>L1B5</x:v>
      </x:c>
      <x:c r="F33" s="9" t="n">
        <x:v>1</x:v>
      </x:c>
      <x:c r="G33" s="9" t="n">
        <x:v>1</x:v>
      </x:c>
      <x:c r="H33" s="9" t="n">
        <x:v>12</x:v>
      </x:c>
      <x:c r="I33" s="8" t="str">
        <x:v>3UTR; 5UTR; ORF1; ORF2; completas_fornecidas; intergenica; tail</x:v>
      </x:c>
      <x:c r="J33" s="8" t="str"/>
    </x:row>
    <x:row r="34" ht="68" customHeight="1">
      <x:c r="A34" s="2" t="str">
        <x:v>LINE</x:v>
      </x:c>
      <x:c r="B34" s="2" t="str">
        <x:v>L1B6</x:v>
      </x:c>
      <x:c r="C34" s="2" t="str">
        <x:v>L1B</x:v>
      </x:c>
      <x:c r="D34" s="8" t="str">
        <x:v>Consenso/representante</x:v>
      </x:c>
      <x:c r="E34" s="8" t="str">
        <x:v>L1B6</x:v>
      </x:c>
      <x:c r="F34" s="9" t="n">
        <x:v>1</x:v>
      </x:c>
      <x:c r="G34" s="9" t="n">
        <x:v>1</x:v>
      </x:c>
      <x:c r="H34" s="9" t="n">
        <x:v>12</x:v>
      </x:c>
      <x:c r="I34" s="8" t="str">
        <x:v>3UTR; 5UTR; ORF1; ORF2; completas_fornecidas; intergenica; tail</x:v>
      </x:c>
      <x:c r="J34" s="8" t="str"/>
    </x:row>
    <x:row r="35" ht="68" customHeight="1">
      <x:c r="A35" s="2" t="str">
        <x:v>LINE</x:v>
      </x:c>
      <x:c r="B35" s="2" t="str">
        <x:v>L1B7</x:v>
      </x:c>
      <x:c r="C35" s="2" t="str">
        <x:v>L1B</x:v>
      </x:c>
      <x:c r="D35" s="8" t="str">
        <x:v>Consenso/representante</x:v>
      </x:c>
      <x:c r="E35" s="8" t="str">
        <x:v>L1B7</x:v>
      </x:c>
      <x:c r="F35" s="9" t="n">
        <x:v>1</x:v>
      </x:c>
      <x:c r="G35" s="9" t="n">
        <x:v>1</x:v>
      </x:c>
      <x:c r="H35" s="9" t="n">
        <x:v>12</x:v>
      </x:c>
      <x:c r="I35" s="8" t="str">
        <x:v>3UTR; 5UTR; ORF1; ORF2; completas_fornecidas; intergenica; tail</x:v>
      </x:c>
      <x:c r="J35" s="8" t="str"/>
    </x:row>
    <x:row r="36" ht="68" customHeight="1">
      <x:c r="A36" s="2" t="str">
        <x:v>LINE</x:v>
      </x:c>
      <x:c r="B36" s="2" t="str">
        <x:v>L1B8</x:v>
      </x:c>
      <x:c r="C36" s="2" t="str">
        <x:v>L1B</x:v>
      </x:c>
      <x:c r="D36" s="8" t="str">
        <x:v>Consenso/representante</x:v>
      </x:c>
      <x:c r="E36" s="8" t="str">
        <x:v>L1B8</x:v>
      </x:c>
      <x:c r="F36" s="9" t="n">
        <x:v>1</x:v>
      </x:c>
      <x:c r="G36" s="9" t="n">
        <x:v>1</x:v>
      </x:c>
      <x:c r="H36" s="9" t="n">
        <x:v>7</x:v>
      </x:c>
      <x:c r="I36" s="8" t="str">
        <x:v>3UTR; 5UTR; ORF1; ORF2; intergenica; nao_separadas; tail</x:v>
      </x:c>
      <x:c r="J36" s="8" t="str"/>
    </x:row>
    <x:row r="37" ht="68" customHeight="1">
      <x:c r="A37" s="2" t="str">
        <x:v>LINE</x:v>
      </x:c>
      <x:c r="B37" s="2" t="str">
        <x:v>L1B9</x:v>
      </x:c>
      <x:c r="C37" s="2" t="str">
        <x:v>L1B</x:v>
      </x:c>
      <x:c r="D37" s="8" t="str">
        <x:v>Consenso/representante</x:v>
      </x:c>
      <x:c r="E37" s="8" t="str">
        <x:v>L1B9</x:v>
      </x:c>
      <x:c r="F37" s="9" t="n">
        <x:v>1</x:v>
      </x:c>
      <x:c r="G37" s="9" t="n">
        <x:v>1</x:v>
      </x:c>
      <x:c r="H37" s="9" t="n">
        <x:v>7</x:v>
      </x:c>
      <x:c r="I37" s="8" t="str">
        <x:v>3UTR; 5UTR; ORF1; ORF2; intergenica; nao_separadas; tail</x:v>
      </x:c>
      <x:c r="J37" s="8" t="str"/>
    </x:row>
    <x:row r="38" ht="68" customHeight="1">
      <x:c r="A38" s="2" t="str">
        <x:v>LINE</x:v>
      </x:c>
      <x:c r="B38" s="2" t="str">
        <x:v>L1C1</x:v>
      </x:c>
      <x:c r="C38" s="2" t="str">
        <x:v>L1C</x:v>
      </x:c>
      <x:c r="D38" s="8" t="str">
        <x:v>Consenso/representante</x:v>
      </x:c>
      <x:c r="E38" s="8" t="str">
        <x:v>L1C1</x:v>
      </x:c>
      <x:c r="F38" s="9" t="n">
        <x:v>1</x:v>
      </x:c>
      <x:c r="G38" s="9" t="n">
        <x:v>1</x:v>
      </x:c>
      <x:c r="H38" s="9" t="n">
        <x:v>10</x:v>
      </x:c>
      <x:c r="I38" s="8" t="str">
        <x:v>3UTR; 5UTR; ORF1; ORF2; completas_fornecidas; intergenica; tail</x:v>
      </x:c>
      <x:c r="J38" s="8" t="str"/>
    </x:row>
    <x:row r="39" ht="68" customHeight="1">
      <x:c r="A39" s="2" t="str">
        <x:v>LINE</x:v>
      </x:c>
      <x:c r="B39" s="2" t="str">
        <x:v>L1C10</x:v>
      </x:c>
      <x:c r="C39" s="2" t="str">
        <x:v>L1C</x:v>
      </x:c>
      <x:c r="D39" s="8" t="str">
        <x:v>Consenso/representante</x:v>
      </x:c>
      <x:c r="E39" s="8" t="str">
        <x:v>L1C10</x:v>
      </x:c>
      <x:c r="F39" s="9" t="n">
        <x:v>1</x:v>
      </x:c>
      <x:c r="G39" s="9" t="n">
        <x:v>1</x:v>
      </x:c>
      <x:c r="H39" s="9" t="n">
        <x:v>12</x:v>
      </x:c>
      <x:c r="I39" s="8" t="str">
        <x:v>3UTR; 5UTR; ORF1; ORF2; completas_fornecidas; intergenica; tail</x:v>
      </x:c>
      <x:c r="J39" s="8" t="str"/>
    </x:row>
    <x:row r="40" ht="68" customHeight="1">
      <x:c r="A40" s="2" t="str">
        <x:v>LINE</x:v>
      </x:c>
      <x:c r="B40" s="2" t="str">
        <x:v>L1C11</x:v>
      </x:c>
      <x:c r="C40" s="2" t="str">
        <x:v>L1C</x:v>
      </x:c>
      <x:c r="D40" s="8" t="str">
        <x:v>Consenso/representante</x:v>
      </x:c>
      <x:c r="E40" s="8" t="str">
        <x:v>L1C11</x:v>
      </x:c>
      <x:c r="F40" s="9" t="n">
        <x:v>1</x:v>
      </x:c>
      <x:c r="G40" s="9" t="n">
        <x:v>1</x:v>
      </x:c>
      <x:c r="H40" s="9" t="n">
        <x:v>12</x:v>
      </x:c>
      <x:c r="I40" s="8" t="str">
        <x:v>3UTR; 5UTR; ORF1; ORF2; completas_fornecidas; intergenica; tail</x:v>
      </x:c>
      <x:c r="J40" s="8" t="str"/>
    </x:row>
    <x:row r="41" ht="68" customHeight="1">
      <x:c r="A41" s="2" t="str">
        <x:v>LINE</x:v>
      </x:c>
      <x:c r="B41" s="2" t="str">
        <x:v>L1C12</x:v>
      </x:c>
      <x:c r="C41" s="2" t="str">
        <x:v>L1C</x:v>
      </x:c>
      <x:c r="D41" s="8" t="str">
        <x:v>Consenso/representante</x:v>
      </x:c>
      <x:c r="E41" s="8" t="str">
        <x:v>L1C12</x:v>
      </x:c>
      <x:c r="F41" s="9" t="n">
        <x:v>1</x:v>
      </x:c>
      <x:c r="G41" s="9" t="n">
        <x:v>1</x:v>
      </x:c>
      <x:c r="H41" s="9" t="n">
        <x:v>12</x:v>
      </x:c>
      <x:c r="I41" s="8" t="str">
        <x:v>3UTR; 5UTR; ORF1; ORF2; completas_fornecidas; intergenica; tail</x:v>
      </x:c>
      <x:c r="J41" s="8" t="str"/>
    </x:row>
    <x:row r="42" ht="68" customHeight="1">
      <x:c r="A42" s="2" t="str">
        <x:v>LINE</x:v>
      </x:c>
      <x:c r="B42" s="2" t="str">
        <x:v>L1C13</x:v>
      </x:c>
      <x:c r="C42" s="2" t="str">
        <x:v>L1C</x:v>
      </x:c>
      <x:c r="D42" s="8" t="str">
        <x:v>Consenso/representante</x:v>
      </x:c>
      <x:c r="E42" s="8" t="str">
        <x:v>L1C13</x:v>
      </x:c>
      <x:c r="F42" s="9" t="n">
        <x:v>1</x:v>
      </x:c>
      <x:c r="G42" s="9" t="n">
        <x:v>1</x:v>
      </x:c>
      <x:c r="H42" s="9" t="n">
        <x:v>12</x:v>
      </x:c>
      <x:c r="I42" s="8" t="str">
        <x:v>3UTR; 5UTR; ORF1; ORF2; completas_fornecidas; intergenica; tail</x:v>
      </x:c>
      <x:c r="J42" s="8" t="str"/>
    </x:row>
    <x:row r="43" ht="68" customHeight="1">
      <x:c r="A43" s="2" t="str">
        <x:v>LINE</x:v>
      </x:c>
      <x:c r="B43" s="2" t="str">
        <x:v>L1C2</x:v>
      </x:c>
      <x:c r="C43" s="2" t="str">
        <x:v>L1C</x:v>
      </x:c>
      <x:c r="D43" s="8" t="str">
        <x:v>Consenso/representante</x:v>
      </x:c>
      <x:c r="E43" s="8" t="str">
        <x:v>L1C2</x:v>
      </x:c>
      <x:c r="F43" s="9" t="n">
        <x:v>1</x:v>
      </x:c>
      <x:c r="G43" s="9" t="n">
        <x:v>1</x:v>
      </x:c>
      <x:c r="H43" s="9" t="n">
        <x:v>12</x:v>
      </x:c>
      <x:c r="I43" s="8" t="str">
        <x:v>3UTR; 5UTR; ORF1; ORF2; completas_fornecidas; intergenica; tail</x:v>
      </x:c>
      <x:c r="J43" s="8" t="str"/>
    </x:row>
    <x:row r="44" ht="68" customHeight="1">
      <x:c r="A44" s="2" t="str">
        <x:v>LINE</x:v>
      </x:c>
      <x:c r="B44" s="2" t="str">
        <x:v>L1C3</x:v>
      </x:c>
      <x:c r="C44" s="2" t="str">
        <x:v>L1C</x:v>
      </x:c>
      <x:c r="D44" s="8" t="str">
        <x:v>Consenso/representante</x:v>
      </x:c>
      <x:c r="E44" s="8" t="str">
        <x:v>L1C3</x:v>
      </x:c>
      <x:c r="F44" s="9" t="n">
        <x:v>1</x:v>
      </x:c>
      <x:c r="G44" s="9" t="n">
        <x:v>1</x:v>
      </x:c>
      <x:c r="H44" s="9" t="n">
        <x:v>12</x:v>
      </x:c>
      <x:c r="I44" s="8" t="str">
        <x:v>3UTR; 5UTR; ORF1; ORF2; completas_fornecidas; intergenica; tail</x:v>
      </x:c>
      <x:c r="J44" s="8" t="str"/>
    </x:row>
    <x:row r="45" ht="68" customHeight="1">
      <x:c r="A45" s="2" t="str">
        <x:v>LINE</x:v>
      </x:c>
      <x:c r="B45" s="2" t="str">
        <x:v>L1C4</x:v>
      </x:c>
      <x:c r="C45" s="2" t="str">
        <x:v>L1C</x:v>
      </x:c>
      <x:c r="D45" s="8" t="str">
        <x:v>Consenso/representante</x:v>
      </x:c>
      <x:c r="E45" s="8" t="str">
        <x:v>L1C4</x:v>
      </x:c>
      <x:c r="F45" s="9" t="n">
        <x:v>1</x:v>
      </x:c>
      <x:c r="G45" s="9" t="n">
        <x:v>1</x:v>
      </x:c>
      <x:c r="H45" s="9" t="n">
        <x:v>10</x:v>
      </x:c>
      <x:c r="I45" s="8" t="str">
        <x:v>3UTR; 5UTR; ORF1; ORF2; completas_fornecidas; intergenica; tail</x:v>
      </x:c>
      <x:c r="J45" s="8" t="str"/>
    </x:row>
    <x:row r="46" ht="68" customHeight="1">
      <x:c r="A46" s="2" t="str">
        <x:v>LINE</x:v>
      </x:c>
      <x:c r="B46" s="2" t="str">
        <x:v>L1C5</x:v>
      </x:c>
      <x:c r="C46" s="2" t="str">
        <x:v>L1C</x:v>
      </x:c>
      <x:c r="D46" s="8" t="str">
        <x:v>Consenso/representante</x:v>
      </x:c>
      <x:c r="E46" s="8" t="str">
        <x:v>L1C5</x:v>
      </x:c>
      <x:c r="F46" s="9" t="n">
        <x:v>1</x:v>
      </x:c>
      <x:c r="G46" s="9" t="n">
        <x:v>1</x:v>
      </x:c>
      <x:c r="H46" s="9" t="n">
        <x:v>7</x:v>
      </x:c>
      <x:c r="I46" s="8" t="str">
        <x:v>3UTR; 5UTR; ORF1; ORF2; intergenica; nao_separadas; tail</x:v>
      </x:c>
      <x:c r="J46" s="8" t="str"/>
    </x:row>
    <x:row r="47" ht="68" customHeight="1">
      <x:c r="A47" s="2" t="str">
        <x:v>LINE</x:v>
      </x:c>
      <x:c r="B47" s="2" t="str">
        <x:v>L1C6</x:v>
      </x:c>
      <x:c r="C47" s="2" t="str">
        <x:v>L1C</x:v>
      </x:c>
      <x:c r="D47" s="8" t="str">
        <x:v>Consenso/representante</x:v>
      </x:c>
      <x:c r="E47" s="8" t="str">
        <x:v>L1C6</x:v>
      </x:c>
      <x:c r="F47" s="9" t="n">
        <x:v>1</x:v>
      </x:c>
      <x:c r="G47" s="9" t="n">
        <x:v>1</x:v>
      </x:c>
      <x:c r="H47" s="9" t="n">
        <x:v>12</x:v>
      </x:c>
      <x:c r="I47" s="8" t="str">
        <x:v>3UTR; 5UTR; ORF1; ORF2; completas_fornecidas; intergenica; tail</x:v>
      </x:c>
      <x:c r="J47" s="8" t="str"/>
    </x:row>
    <x:row r="48" ht="68" customHeight="1">
      <x:c r="A48" s="2" t="str">
        <x:v>LINE</x:v>
      </x:c>
      <x:c r="B48" s="2" t="str">
        <x:v>L1C7</x:v>
      </x:c>
      <x:c r="C48" s="2" t="str">
        <x:v>L1C</x:v>
      </x:c>
      <x:c r="D48" s="8" t="str">
        <x:v>Consenso/representante</x:v>
      </x:c>
      <x:c r="E48" s="8" t="str">
        <x:v>L1C7</x:v>
      </x:c>
      <x:c r="F48" s="9" t="n">
        <x:v>1</x:v>
      </x:c>
      <x:c r="G48" s="9" t="n">
        <x:v>1</x:v>
      </x:c>
      <x:c r="H48" s="9" t="n">
        <x:v>10</x:v>
      </x:c>
      <x:c r="I48" s="8" t="str">
        <x:v>3UTR; 5UTR; ORF1; ORF2; completas_fornecidas; intergenica; tail</x:v>
      </x:c>
      <x:c r="J48" s="8" t="str"/>
    </x:row>
    <x:row r="49" ht="68" customHeight="1">
      <x:c r="A49" s="2" t="str">
        <x:v>LINE</x:v>
      </x:c>
      <x:c r="B49" s="2" t="str">
        <x:v>L1C8</x:v>
      </x:c>
      <x:c r="C49" s="2" t="str">
        <x:v>L1C</x:v>
      </x:c>
      <x:c r="D49" s="8" t="str">
        <x:v>Consenso/representante</x:v>
      </x:c>
      <x:c r="E49" s="8" t="str">
        <x:v>L1C8</x:v>
      </x:c>
      <x:c r="F49" s="9" t="n">
        <x:v>1</x:v>
      </x:c>
      <x:c r="G49" s="9" t="n">
        <x:v>1</x:v>
      </x:c>
      <x:c r="H49" s="9" t="n">
        <x:v>10</x:v>
      </x:c>
      <x:c r="I49" s="8" t="str">
        <x:v>3UTR; 5UTR; ORF1; ORF2; completas_fornecidas; intergenica; tail</x:v>
      </x:c>
      <x:c r="J49" s="8" t="str"/>
    </x:row>
    <x:row r="50" ht="68" customHeight="1">
      <x:c r="A50" s="2" t="str">
        <x:v>LINE</x:v>
      </x:c>
      <x:c r="B50" s="2" t="str">
        <x:v>L1C9</x:v>
      </x:c>
      <x:c r="C50" s="2" t="str">
        <x:v>L1C</x:v>
      </x:c>
      <x:c r="D50" s="8" t="str">
        <x:v>Consenso/representante</x:v>
      </x:c>
      <x:c r="E50" s="8" t="str">
        <x:v>L1C9</x:v>
      </x:c>
      <x:c r="F50" s="9" t="n">
        <x:v>1</x:v>
      </x:c>
      <x:c r="G50" s="9" t="n">
        <x:v>1</x:v>
      </x:c>
      <x:c r="H50" s="9" t="n">
        <x:v>12</x:v>
      </x:c>
      <x:c r="I50" s="8" t="str">
        <x:v>3UTR; 5UTR; ORF1; ORF2; completas_fornecidas; intergenica; tail</x:v>
      </x:c>
      <x:c r="J50" s="8" t="str"/>
    </x:row>
    <x:row r="51" ht="68" customHeight="1">
      <x:c r="A51" s="2" t="str">
        <x:v>LINE</x:v>
      </x:c>
      <x:c r="B51" s="2" t="str">
        <x:v>L1D1</x:v>
      </x:c>
      <x:c r="C51" s="2" t="str">
        <x:v>L1D</x:v>
      </x:c>
      <x:c r="D51" s="8" t="str">
        <x:v>Consenso/representante</x:v>
      </x:c>
      <x:c r="E51" s="8" t="str">
        <x:v>L1D1</x:v>
      </x:c>
      <x:c r="F51" s="9" t="n">
        <x:v>1</x:v>
      </x:c>
      <x:c r="G51" s="9" t="n">
        <x:v>1</x:v>
      </x:c>
      <x:c r="H51" s="9" t="n">
        <x:v>8</x:v>
      </x:c>
      <x:c r="I51" s="8" t="str">
        <x:v>3UTR; 5UTR; ORF1; ORF2; completas_fornecidas; intergenica; tail</x:v>
      </x:c>
      <x:c r="J51" s="8" t="str"/>
    </x:row>
    <x:row r="52" ht="68" customHeight="1">
      <x:c r="A52" s="2" t="str">
        <x:v>LINE</x:v>
      </x:c>
      <x:c r="B52" s="2" t="str">
        <x:v>L1D10</x:v>
      </x:c>
      <x:c r="C52" s="2" t="str">
        <x:v>L1D</x:v>
      </x:c>
      <x:c r="D52" s="8" t="str">
        <x:v>Consenso/representante</x:v>
      </x:c>
      <x:c r="E52" s="8" t="str">
        <x:v>L1D10</x:v>
      </x:c>
      <x:c r="F52" s="9" t="n">
        <x:v>1</x:v>
      </x:c>
      <x:c r="G52" s="9" t="n">
        <x:v>1</x:v>
      </x:c>
      <x:c r="H52" s="9" t="n">
        <x:v>9</x:v>
      </x:c>
      <x:c r="I52" s="8" t="str">
        <x:v>3UTR; 5UTR; ORF1; ORF2; completas_fornecidas; intergenica; tail</x:v>
      </x:c>
      <x:c r="J52" s="8" t="str"/>
    </x:row>
    <x:row r="53" ht="68" customHeight="1">
      <x:c r="A53" s="2" t="str">
        <x:v>LINE</x:v>
      </x:c>
      <x:c r="B53" s="2" t="str">
        <x:v>L1D11</x:v>
      </x:c>
      <x:c r="C53" s="2" t="str">
        <x:v>L1D</x:v>
      </x:c>
      <x:c r="D53" s="8" t="str">
        <x:v>Consenso/representante</x:v>
      </x:c>
      <x:c r="E53" s="8" t="str">
        <x:v>L1D11</x:v>
      </x:c>
      <x:c r="F53" s="9" t="n">
        <x:v>1</x:v>
      </x:c>
      <x:c r="G53" s="9" t="n">
        <x:v>1</x:v>
      </x:c>
      <x:c r="H53" s="9" t="n">
        <x:v>12</x:v>
      </x:c>
      <x:c r="I53" s="8" t="str">
        <x:v>3UTR; 5UTR; ORF1; ORF2; completas_fornecidas; intergenica; tail</x:v>
      </x:c>
      <x:c r="J53" s="8" t="str"/>
    </x:row>
    <x:row r="54" ht="68" customHeight="1">
      <x:c r="A54" s="2" t="str">
        <x:v>LINE</x:v>
      </x:c>
      <x:c r="B54" s="2" t="str">
        <x:v>L1D12</x:v>
      </x:c>
      <x:c r="C54" s="2" t="str">
        <x:v>L1D</x:v>
      </x:c>
      <x:c r="D54" s="8" t="str">
        <x:v>Consenso/representante</x:v>
      </x:c>
      <x:c r="E54" s="8" t="str">
        <x:v>L1D12</x:v>
      </x:c>
      <x:c r="F54" s="9" t="n">
        <x:v>1</x:v>
      </x:c>
      <x:c r="G54" s="9" t="n">
        <x:v>1</x:v>
      </x:c>
      <x:c r="H54" s="9" t="n">
        <x:v>10</x:v>
      </x:c>
      <x:c r="I54" s="8" t="str">
        <x:v>3UTR; 5UTR; ORF1; ORF2; completas_fornecidas; intergenica; tail</x:v>
      </x:c>
      <x:c r="J54" s="8" t="str"/>
    </x:row>
    <x:row r="55" ht="68" customHeight="1">
      <x:c r="A55" s="2" t="str">
        <x:v>LINE</x:v>
      </x:c>
      <x:c r="B55" s="2" t="str">
        <x:v>L1D13</x:v>
      </x:c>
      <x:c r="C55" s="2" t="str">
        <x:v>L1D</x:v>
      </x:c>
      <x:c r="D55" s="8" t="str">
        <x:v>Consenso/representante</x:v>
      </x:c>
      <x:c r="E55" s="8" t="str">
        <x:v>L1D13</x:v>
      </x:c>
      <x:c r="F55" s="9" t="n">
        <x:v>1</x:v>
      </x:c>
      <x:c r="G55" s="9" t="n">
        <x:v>1</x:v>
      </x:c>
      <x:c r="H55" s="9" t="n">
        <x:v>12</x:v>
      </x:c>
      <x:c r="I55" s="8" t="str">
        <x:v>3UTR; 5UTR; ORF1; ORF2; completas_fornecidas; intergenica; tail</x:v>
      </x:c>
      <x:c r="J55" s="8" t="str"/>
    </x:row>
    <x:row r="56" ht="68" customHeight="1">
      <x:c r="A56" s="2" t="str">
        <x:v>LINE</x:v>
      </x:c>
      <x:c r="B56" s="2" t="str">
        <x:v>L1D14</x:v>
      </x:c>
      <x:c r="C56" s="2" t="str">
        <x:v>L1D</x:v>
      </x:c>
      <x:c r="D56" s="8" t="str">
        <x:v>Consenso/representante</x:v>
      </x:c>
      <x:c r="E56" s="8" t="str">
        <x:v>L1D14</x:v>
      </x:c>
      <x:c r="F56" s="9" t="n">
        <x:v>1</x:v>
      </x:c>
      <x:c r="G56" s="9" t="n">
        <x:v>1</x:v>
      </x:c>
      <x:c r="H56" s="9" t="n">
        <x:v>12</x:v>
      </x:c>
      <x:c r="I56" s="8" t="str">
        <x:v>3UTR; 5UTR; ORF1; ORF2; completas_fornecidas; intergenica; tail</x:v>
      </x:c>
      <x:c r="J56" s="8" t="str"/>
    </x:row>
    <x:row r="57" ht="68" customHeight="1">
      <x:c r="A57" s="2" t="str">
        <x:v>LINE</x:v>
      </x:c>
      <x:c r="B57" s="2" t="str">
        <x:v>L1D15</x:v>
      </x:c>
      <x:c r="C57" s="2" t="str">
        <x:v>L1D</x:v>
      </x:c>
      <x:c r="D57" s="8" t="str">
        <x:v>Consenso/representante</x:v>
      </x:c>
      <x:c r="E57" s="8" t="str">
        <x:v>L1D15</x:v>
      </x:c>
      <x:c r="F57" s="9" t="n">
        <x:v>1</x:v>
      </x:c>
      <x:c r="G57" s="9" t="n">
        <x:v>1</x:v>
      </x:c>
      <x:c r="H57" s="9" t="n">
        <x:v>9</x:v>
      </x:c>
      <x:c r="I57" s="8" t="str">
        <x:v>3UTR; 5UTR; ORF1; ORF2; completas_fornecidas; intergenica; tail</x:v>
      </x:c>
      <x:c r="J57" s="8" t="str"/>
    </x:row>
    <x:row r="58" ht="68" customHeight="1">
      <x:c r="A58" s="2" t="str">
        <x:v>LINE</x:v>
      </x:c>
      <x:c r="B58" s="2" t="str">
        <x:v>L1D16</x:v>
      </x:c>
      <x:c r="C58" s="2" t="str">
        <x:v>L1D</x:v>
      </x:c>
      <x:c r="D58" s="8" t="str">
        <x:v>Consenso/representante</x:v>
      </x:c>
      <x:c r="E58" s="8" t="str">
        <x:v>L1D16</x:v>
      </x:c>
      <x:c r="F58" s="9" t="n">
        <x:v>1</x:v>
      </x:c>
      <x:c r="G58" s="9" t="n">
        <x:v>1</x:v>
      </x:c>
      <x:c r="H58" s="9" t="n">
        <x:v>12</x:v>
      </x:c>
      <x:c r="I58" s="8" t="str">
        <x:v>3UTR; 5UTR; ORF1; ORF2; completas_fornecidas; intergenica; tail</x:v>
      </x:c>
      <x:c r="J58" s="8" t="str"/>
    </x:row>
    <x:row r="59" ht="68" customHeight="1">
      <x:c r="A59" s="2" t="str">
        <x:v>LINE</x:v>
      </x:c>
      <x:c r="B59" s="2" t="str">
        <x:v>L1D17</x:v>
      </x:c>
      <x:c r="C59" s="2" t="str">
        <x:v>L1D</x:v>
      </x:c>
      <x:c r="D59" s="8" t="str">
        <x:v>Consenso/representante</x:v>
      </x:c>
      <x:c r="E59" s="8" t="str">
        <x:v>L1D17</x:v>
      </x:c>
      <x:c r="F59" s="9" t="n">
        <x:v>1</x:v>
      </x:c>
      <x:c r="G59" s="9" t="n">
        <x:v>1</x:v>
      </x:c>
      <x:c r="H59" s="9" t="n">
        <x:v>9</x:v>
      </x:c>
      <x:c r="I59" s="8" t="str">
        <x:v>3UTR; 5UTR; ORF1; ORF2; completas_fornecidas; intergenica; tail</x:v>
      </x:c>
      <x:c r="J59" s="8" t="str"/>
    </x:row>
    <x:row r="60" ht="68" customHeight="1">
      <x:c r="A60" s="2" t="str">
        <x:v>LINE</x:v>
      </x:c>
      <x:c r="B60" s="2" t="str">
        <x:v>L1D18</x:v>
      </x:c>
      <x:c r="C60" s="2" t="str">
        <x:v>L1D</x:v>
      </x:c>
      <x:c r="D60" s="8" t="str">
        <x:v>Consenso/representante</x:v>
      </x:c>
      <x:c r="E60" s="8" t="str">
        <x:v>L1D18</x:v>
      </x:c>
      <x:c r="F60" s="9" t="n">
        <x:v>1</x:v>
      </x:c>
      <x:c r="G60" s="9" t="n">
        <x:v>1</x:v>
      </x:c>
      <x:c r="H60" s="9" t="n">
        <x:v>10</x:v>
      </x:c>
      <x:c r="I60" s="8" t="str">
        <x:v>3UTR; 5UTR; ORF1; ORF2; completas_fornecidas; intergenica; tail</x:v>
      </x:c>
      <x:c r="J60" s="8" t="str"/>
    </x:row>
    <x:row r="61" ht="68" customHeight="1">
      <x:c r="A61" s="2" t="str">
        <x:v>LINE</x:v>
      </x:c>
      <x:c r="B61" s="2" t="str">
        <x:v>L1D19</x:v>
      </x:c>
      <x:c r="C61" s="2" t="str">
        <x:v>L1D</x:v>
      </x:c>
      <x:c r="D61" s="8" t="str">
        <x:v>Consenso/representante</x:v>
      </x:c>
      <x:c r="E61" s="8" t="str">
        <x:v>L1D19</x:v>
      </x:c>
      <x:c r="F61" s="9" t="n">
        <x:v>1</x:v>
      </x:c>
      <x:c r="G61" s="9" t="n">
        <x:v>1</x:v>
      </x:c>
      <x:c r="H61" s="9" t="n">
        <x:v>8</x:v>
      </x:c>
      <x:c r="I61" s="8" t="str">
        <x:v>3UTR; 5UTR; ORF1; ORF2; completas_fornecidas; intergenica; tail</x:v>
      </x:c>
      <x:c r="J61" s="8" t="str"/>
    </x:row>
    <x:row r="62" ht="68" customHeight="1">
      <x:c r="A62" s="2" t="str">
        <x:v>LINE</x:v>
      </x:c>
      <x:c r="B62" s="2" t="str">
        <x:v>L1D2</x:v>
      </x:c>
      <x:c r="C62" s="2" t="str">
        <x:v>L1D</x:v>
      </x:c>
      <x:c r="D62" s="8" t="str">
        <x:v>Consenso/representante</x:v>
      </x:c>
      <x:c r="E62" s="8" t="str">
        <x:v>L1D2</x:v>
      </x:c>
      <x:c r="F62" s="9" t="n">
        <x:v>1</x:v>
      </x:c>
      <x:c r="G62" s="9" t="n">
        <x:v>1</x:v>
      </x:c>
      <x:c r="H62" s="9" t="n">
        <x:v>8</x:v>
      </x:c>
      <x:c r="I62" s="8" t="str">
        <x:v>3UTR; 5UTR; ORF1; ORF2; completas_fornecidas; intergenica; tail</x:v>
      </x:c>
      <x:c r="J62" s="8" t="str"/>
    </x:row>
    <x:row r="63" ht="68" customHeight="1">
      <x:c r="A63" s="2" t="str">
        <x:v>LINE</x:v>
      </x:c>
      <x:c r="B63" s="2" t="str">
        <x:v>L1D20</x:v>
      </x:c>
      <x:c r="C63" s="2" t="str">
        <x:v>L1D</x:v>
      </x:c>
      <x:c r="D63" s="8" t="str">
        <x:v>Consenso/representante</x:v>
      </x:c>
      <x:c r="E63" s="8" t="str">
        <x:v>L1D20</x:v>
      </x:c>
      <x:c r="F63" s="9" t="n">
        <x:v>1</x:v>
      </x:c>
      <x:c r="G63" s="9" t="n">
        <x:v>1</x:v>
      </x:c>
      <x:c r="H63" s="9" t="n">
        <x:v>11</x:v>
      </x:c>
      <x:c r="I63" s="8" t="str">
        <x:v>3UTR; 5UTR; ORF1; ORF2; completas_fornecidas; intergenica; tail</x:v>
      </x:c>
      <x:c r="J63" s="8" t="str"/>
    </x:row>
    <x:row r="64" ht="68" customHeight="1">
      <x:c r="A64" s="2" t="str">
        <x:v>LINE</x:v>
      </x:c>
      <x:c r="B64" s="2" t="str">
        <x:v>L1D21</x:v>
      </x:c>
      <x:c r="C64" s="2" t="str">
        <x:v>L1D</x:v>
      </x:c>
      <x:c r="D64" s="8" t="str">
        <x:v>Consenso/representante</x:v>
      </x:c>
      <x:c r="E64" s="8" t="str">
        <x:v>L1D21</x:v>
      </x:c>
      <x:c r="F64" s="9" t="n">
        <x:v>1</x:v>
      </x:c>
      <x:c r="G64" s="9" t="n">
        <x:v>1</x:v>
      </x:c>
      <x:c r="H64" s="9" t="n">
        <x:v>11</x:v>
      </x:c>
      <x:c r="I64" s="8" t="str">
        <x:v>3UTR; 5UTR; ORF1; ORF2; completas_fornecidas; intergenica; tail</x:v>
      </x:c>
      <x:c r="J64" s="8" t="str"/>
    </x:row>
    <x:row r="65" ht="68" customHeight="1">
      <x:c r="A65" s="2" t="str">
        <x:v>LINE</x:v>
      </x:c>
      <x:c r="B65" s="2" t="str">
        <x:v>L1D3</x:v>
      </x:c>
      <x:c r="C65" s="2" t="str">
        <x:v>L1D</x:v>
      </x:c>
      <x:c r="D65" s="8" t="str">
        <x:v>Consenso/representante</x:v>
      </x:c>
      <x:c r="E65" s="8" t="str">
        <x:v>L1D3</x:v>
      </x:c>
      <x:c r="F65" s="9" t="n">
        <x:v>1</x:v>
      </x:c>
      <x:c r="G65" s="9" t="n">
        <x:v>1</x:v>
      </x:c>
      <x:c r="H65" s="9" t="n">
        <x:v>8</x:v>
      </x:c>
      <x:c r="I65" s="8" t="str">
        <x:v>3UTR; 5UTR; ORF1; ORF2; completas_fornecidas; intergenica; tail</x:v>
      </x:c>
      <x:c r="J65" s="8" t="str"/>
    </x:row>
    <x:row r="66" ht="68" customHeight="1">
      <x:c r="A66" s="2" t="str">
        <x:v>LINE</x:v>
      </x:c>
      <x:c r="B66" s="2" t="str">
        <x:v>L1D4</x:v>
      </x:c>
      <x:c r="C66" s="2" t="str">
        <x:v>L1D</x:v>
      </x:c>
      <x:c r="D66" s="8" t="str">
        <x:v>Consenso/representante</x:v>
      </x:c>
      <x:c r="E66" s="8" t="str">
        <x:v>L1D4</x:v>
      </x:c>
      <x:c r="F66" s="9" t="n">
        <x:v>1</x:v>
      </x:c>
      <x:c r="G66" s="9" t="n">
        <x:v>1</x:v>
      </x:c>
      <x:c r="H66" s="9" t="n">
        <x:v>8</x:v>
      </x:c>
      <x:c r="I66" s="8" t="str">
        <x:v>3UTR; 5UTR; ORF1; ORF2; completas_fornecidas; intergenica; tail</x:v>
      </x:c>
      <x:c r="J66" s="8" t="str"/>
    </x:row>
    <x:row r="67" ht="68" customHeight="1">
      <x:c r="A67" s="2" t="str">
        <x:v>LINE</x:v>
      </x:c>
      <x:c r="B67" s="2" t="str">
        <x:v>L1D5</x:v>
      </x:c>
      <x:c r="C67" s="2" t="str">
        <x:v>L1D</x:v>
      </x:c>
      <x:c r="D67" s="8" t="str">
        <x:v>Consenso/representante</x:v>
      </x:c>
      <x:c r="E67" s="8" t="str">
        <x:v>L1D5</x:v>
      </x:c>
      <x:c r="F67" s="9" t="n">
        <x:v>1</x:v>
      </x:c>
      <x:c r="G67" s="9" t="n">
        <x:v>1</x:v>
      </x:c>
      <x:c r="H67" s="9" t="n">
        <x:v>9</x:v>
      </x:c>
      <x:c r="I67" s="8" t="str">
        <x:v>3UTR; 5UTR; ORF1; ORF2; completas_fornecidas; intergenica; tail</x:v>
      </x:c>
      <x:c r="J67" s="8" t="str"/>
    </x:row>
    <x:row r="68" ht="68" customHeight="1">
      <x:c r="A68" s="2" t="str">
        <x:v>LINE</x:v>
      </x:c>
      <x:c r="B68" s="2" t="str">
        <x:v>L1D6</x:v>
      </x:c>
      <x:c r="C68" s="2" t="str">
        <x:v>L1D</x:v>
      </x:c>
      <x:c r="D68" s="8" t="str">
        <x:v>Consenso/representante</x:v>
      </x:c>
      <x:c r="E68" s="8" t="str">
        <x:v>L1D6</x:v>
      </x:c>
      <x:c r="F68" s="9" t="n">
        <x:v>1</x:v>
      </x:c>
      <x:c r="G68" s="9" t="n">
        <x:v>1</x:v>
      </x:c>
      <x:c r="H68" s="9" t="n">
        <x:v>8</x:v>
      </x:c>
      <x:c r="I68" s="8" t="str">
        <x:v>3UTR; 5UTR; ORF1; ORF2; completas_fornecidas; intergenica; tail</x:v>
      </x:c>
      <x:c r="J68" s="8" t="str"/>
    </x:row>
    <x:row r="69" ht="68" customHeight="1">
      <x:c r="A69" s="2" t="str">
        <x:v>LINE</x:v>
      </x:c>
      <x:c r="B69" s="2" t="str">
        <x:v>L1D7</x:v>
      </x:c>
      <x:c r="C69" s="2" t="str">
        <x:v>L1D</x:v>
      </x:c>
      <x:c r="D69" s="8" t="str">
        <x:v>Consenso/representante</x:v>
      </x:c>
      <x:c r="E69" s="8" t="str">
        <x:v>L1D7</x:v>
      </x:c>
      <x:c r="F69" s="9" t="n">
        <x:v>1</x:v>
      </x:c>
      <x:c r="G69" s="9" t="n">
        <x:v>1</x:v>
      </x:c>
      <x:c r="H69" s="9" t="n">
        <x:v>8</x:v>
      </x:c>
      <x:c r="I69" s="8" t="str">
        <x:v>3UTR; 5UTR; ORF1; ORF2; completas_fornecidas; intergenica; tail</x:v>
      </x:c>
      <x:c r="J69" s="8" t="str"/>
    </x:row>
    <x:row r="70" ht="68" customHeight="1">
      <x:c r="A70" s="2" t="str">
        <x:v>LINE</x:v>
      </x:c>
      <x:c r="B70" s="2" t="str">
        <x:v>L1D8</x:v>
      </x:c>
      <x:c r="C70" s="2" t="str">
        <x:v>L1D</x:v>
      </x:c>
      <x:c r="D70" s="8" t="str">
        <x:v>Consenso/representante</x:v>
      </x:c>
      <x:c r="E70" s="8" t="str">
        <x:v>L1D8</x:v>
      </x:c>
      <x:c r="F70" s="9" t="n">
        <x:v>1</x:v>
      </x:c>
      <x:c r="G70" s="9" t="n">
        <x:v>1</x:v>
      </x:c>
      <x:c r="H70" s="9" t="n">
        <x:v>9</x:v>
      </x:c>
      <x:c r="I70" s="8" t="str">
        <x:v>3UTR; 5UTR; ORF1; ORF2; completas_fornecidas; intergenica; tail</x:v>
      </x:c>
      <x:c r="J70" s="8" t="str"/>
    </x:row>
    <x:row r="71" ht="68" customHeight="1">
      <x:c r="A71" s="2" t="str">
        <x:v>LINE</x:v>
      </x:c>
      <x:c r="B71" s="2" t="str">
        <x:v>L1D9</x:v>
      </x:c>
      <x:c r="C71" s="2" t="str">
        <x:v>L1D</x:v>
      </x:c>
      <x:c r="D71" s="8" t="str">
        <x:v>Consenso/representante</x:v>
      </x:c>
      <x:c r="E71" s="8" t="str">
        <x:v>L1D9</x:v>
      </x:c>
      <x:c r="F71" s="9" t="n">
        <x:v>1</x:v>
      </x:c>
      <x:c r="G71" s="9" t="n">
        <x:v>1</x:v>
      </x:c>
      <x:c r="H71" s="9" t="n">
        <x:v>8</x:v>
      </x:c>
      <x:c r="I71" s="8" t="str">
        <x:v>3UTR; 5UTR; ORF1; ORF2; completas_fornecidas; intergenica; tail</x:v>
      </x:c>
      <x:c r="J71" s="8" t="str"/>
    </x:row>
    <x:row r="72" ht="68" customHeight="1">
      <x:c r="A72" s="2" t="str">
        <x:v>LINE</x:v>
      </x:c>
      <x:c r="B72" s="2" t="str">
        <x:v>SEQ-6983</x:v>
      </x:c>
      <x:c r="C72" s="2" t="str">
        <x:v>L1_SS</x:v>
      </x:c>
      <x:c r="D72" s="8" t="str">
        <x:v>Locus genômico</x:v>
      </x:c>
      <x:c r="E72" s="8" t="str">
        <x:v>SEQ-6983</x:v>
      </x:c>
      <x:c r="F72" s="9" t="n">
        <x:v>1</x:v>
      </x:c>
      <x:c r="G72" s="9" t="n">
        <x:v>0</x:v>
      </x:c>
      <x:c r="H72" s="9" t="n">
        <x:v>4</x:v>
      </x:c>
      <x:c r="I72" s="8" t="str">
        <x:v>3UTR; 5UTR; ORF1; ORF2</x:v>
      </x:c>
      <x:c r="J72" s="8" t="str"/>
    </x:row>
    <x:row r="73" ht="68" customHeight="1">
      <x:c r="A73" s="2" t="str">
        <x:v>LINE</x:v>
      </x:c>
      <x:c r="B73" s="2" t="str">
        <x:v>SEQ-6984</x:v>
      </x:c>
      <x:c r="C73" s="2" t="str">
        <x:v>L1_SS</x:v>
      </x:c>
      <x:c r="D73" s="8" t="str">
        <x:v>Locus genômico</x:v>
      </x:c>
      <x:c r="E73" s="8" t="str">
        <x:v>SEQ-6984</x:v>
      </x:c>
      <x:c r="F73" s="9" t="n">
        <x:v>1</x:v>
      </x:c>
      <x:c r="G73" s="9" t="n">
        <x:v>0</x:v>
      </x:c>
      <x:c r="H73" s="9" t="n">
        <x:v>3</x:v>
      </x:c>
      <x:c r="I73" s="8" t="str">
        <x:v>3UTR; 5UTR; ORF1</x:v>
      </x:c>
      <x:c r="J73" s="8" t="str"/>
    </x:row>
    <x:row r="74" ht="68" customHeight="1">
      <x:c r="A74" s="2" t="str">
        <x:v>LINE</x:v>
      </x:c>
      <x:c r="B74" s="2" t="str">
        <x:v>SEQ-6985</x:v>
      </x:c>
      <x:c r="C74" s="2" t="str">
        <x:v>L1_SS</x:v>
      </x:c>
      <x:c r="D74" s="8" t="str">
        <x:v>Locus genômico</x:v>
      </x:c>
      <x:c r="E74" s="8" t="str">
        <x:v>SEQ-6985</x:v>
      </x:c>
      <x:c r="F74" s="9" t="n">
        <x:v>1</x:v>
      </x:c>
      <x:c r="G74" s="9" t="n">
        <x:v>0</x:v>
      </x:c>
      <x:c r="H74" s="9" t="n">
        <x:v>5</x:v>
      </x:c>
      <x:c r="I74" s="8" t="str">
        <x:v>3UTR; 5UTR; ORF1; ORF2; intergenica</x:v>
      </x:c>
      <x:c r="J74" s="8" t="str"/>
    </x:row>
    <x:row r="75" ht="68" customHeight="1">
      <x:c r="A75" s="2" t="str">
        <x:v>LINE</x:v>
      </x:c>
      <x:c r="B75" s="2" t="str">
        <x:v>SEQ-6986</x:v>
      </x:c>
      <x:c r="C75" s="2" t="str">
        <x:v>L1_SS</x:v>
      </x:c>
      <x:c r="D75" s="8" t="str">
        <x:v>Locus genômico</x:v>
      </x:c>
      <x:c r="E75" s="8" t="str">
        <x:v>SEQ-6986</x:v>
      </x:c>
      <x:c r="F75" s="9" t="n">
        <x:v>1</x:v>
      </x:c>
      <x:c r="G75" s="9" t="n">
        <x:v>0</x:v>
      </x:c>
      <x:c r="H75" s="9" t="n">
        <x:v>5</x:v>
      </x:c>
      <x:c r="I75" s="8" t="str">
        <x:v>3UTR; 5UTR; ORF1; ORF2; intergenica</x:v>
      </x:c>
      <x:c r="J75" s="8" t="str"/>
    </x:row>
    <x:row r="76" ht="68" customHeight="1">
      <x:c r="A76" s="2" t="str">
        <x:v>PERV</x:v>
      </x:c>
      <x:c r="B76" s="2" t="str">
        <x:v>AF038599</x:v>
      </x:c>
      <x:c r="C76" s="2" t="str">
        <x:v>PERV (subtipo a conferir)</x:v>
      </x:c>
      <x:c r="D76" s="8" t="str">
        <x:v>Acesso de sequência</x:v>
      </x:c>
      <x:c r="E76" s="8" t="str">
        <x:v>AF038599</x:v>
      </x:c>
      <x:c r="F76" s="9" t="n">
        <x:v>1</x:v>
      </x:c>
      <x:c r="G76" s="9" t="n">
        <x:v>0</x:v>
      </x:c>
      <x:c r="H76" s="9" t="n">
        <x:v>7</x:v>
      </x:c>
      <x:c r="I76" s="8" t="str">
        <x:v>3UTR; 5UTR; ORF_env; ORF_gag; ORF_pol; intergenica</x:v>
      </x:c>
      <x:c r="J76" s="8" t="str"/>
    </x:row>
    <x:row r="77" ht="68" customHeight="1">
      <x:c r="A77" s="2" t="str">
        <x:v>PERV</x:v>
      </x:c>
      <x:c r="B77" s="2" t="str">
        <x:v>AF038600</x:v>
      </x:c>
      <x:c r="C77" s="2" t="str">
        <x:v>PERV-C</x:v>
      </x:c>
      <x:c r="D77" s="8" t="str">
        <x:v>Acesso de sequência</x:v>
      </x:c>
      <x:c r="E77" s="8" t="str">
        <x:v>AF038600</x:v>
      </x:c>
      <x:c r="F77" s="9" t="n">
        <x:v>1</x:v>
      </x:c>
      <x:c r="G77" s="9" t="n">
        <x:v>0</x:v>
      </x:c>
      <x:c r="H77" s="9" t="n">
        <x:v>5</x:v>
      </x:c>
      <x:c r="I77" s="8" t="str">
        <x:v>3UTR; 5UTR; ORF_gag; ORF_pol; intergenica</x:v>
      </x:c>
      <x:c r="J77" s="8" t="str"/>
    </x:row>
    <x:row r="78" ht="68" customHeight="1">
      <x:c r="A78" s="2" t="str">
        <x:v>PERV</x:v>
      </x:c>
      <x:c r="B78" s="2" t="str">
        <x:v>AF435967</x:v>
      </x:c>
      <x:c r="C78" s="2" t="str">
        <x:v>PERV-A</x:v>
      </x:c>
      <x:c r="D78" s="8" t="str">
        <x:v>Acesso de sequência</x:v>
      </x:c>
      <x:c r="E78" s="8" t="str">
        <x:v>AF435967</x:v>
      </x:c>
      <x:c r="F78" s="9" t="n">
        <x:v>1</x:v>
      </x:c>
      <x:c r="G78" s="9" t="n">
        <x:v>0</x:v>
      </x:c>
      <x:c r="H78" s="9" t="n">
        <x:v>7</x:v>
      </x:c>
      <x:c r="I78" s="8" t="str">
        <x:v>3UTR; 5UTR; LTR3; LTR5; ORF_gag; ORF_pol; intergenica</x:v>
      </x:c>
      <x:c r="J78" s="8" t="str"/>
    </x:row>
    <x:row r="79" ht="68" customHeight="1">
      <x:c r="A79" s="2" t="str">
        <x:v>PERV</x:v>
      </x:c>
      <x:c r="B79" s="2" t="str">
        <x:v>AJ133817</x:v>
      </x:c>
      <x:c r="C79" s="2" t="str">
        <x:v>PERV-A</x:v>
      </x:c>
      <x:c r="D79" s="8" t="str">
        <x:v>Acesso de sequência</x:v>
      </x:c>
      <x:c r="E79" s="8" t="str">
        <x:v>AJ133817</x:v>
      </x:c>
      <x:c r="F79" s="9" t="n">
        <x:v>1</x:v>
      </x:c>
      <x:c r="G79" s="9" t="n">
        <x:v>0</x:v>
      </x:c>
      <x:c r="H79" s="9" t="n">
        <x:v>7</x:v>
      </x:c>
      <x:c r="I79" s="8" t="str">
        <x:v>3UTR; 5UTR; LTR3; LTR5; ORF_gag; ORF_pol; intergenica</x:v>
      </x:c>
      <x:c r="J79" s="8" t="str"/>
    </x:row>
    <x:row r="80" ht="68" customHeight="1">
      <x:c r="A80" s="2" t="str">
        <x:v>PERV</x:v>
      </x:c>
      <x:c r="B80" s="2" t="str">
        <x:v>AJ133818</x:v>
      </x:c>
      <x:c r="C80" s="2" t="str">
        <x:v>PERV-B</x:v>
      </x:c>
      <x:c r="D80" s="8" t="str">
        <x:v>Acesso de sequência</x:v>
      </x:c>
      <x:c r="E80" s="8" t="str">
        <x:v>AJ133818</x:v>
      </x:c>
      <x:c r="F80" s="9" t="n">
        <x:v>1</x:v>
      </x:c>
      <x:c r="G80" s="9" t="n">
        <x:v>0</x:v>
      </x:c>
      <x:c r="H80" s="9" t="n">
        <x:v>7</x:v>
      </x:c>
      <x:c r="I80" s="8" t="str">
        <x:v>3UTR; 5UTR; LTR3; LTR5; ORF_gag; ORF_pol; intergenica</x:v>
      </x:c>
      <x:c r="J80" s="8" t="str"/>
    </x:row>
    <x:row r="81" ht="68" customHeight="1">
      <x:c r="A81" s="2" t="str">
        <x:v>PERV</x:v>
      </x:c>
      <x:c r="B81" s="2" t="str">
        <x:v>AJ293656</x:v>
      </x:c>
      <x:c r="C81" s="2" t="str">
        <x:v>PERV-A</x:v>
      </x:c>
      <x:c r="D81" s="8" t="str">
        <x:v>Acesso de sequência</x:v>
      </x:c>
      <x:c r="E81" s="8" t="str">
        <x:v>AJ293656</x:v>
      </x:c>
      <x:c r="F81" s="9" t="n">
        <x:v>1</x:v>
      </x:c>
      <x:c r="G81" s="9" t="n">
        <x:v>0</x:v>
      </x:c>
      <x:c r="H81" s="9" t="n">
        <x:v>5</x:v>
      </x:c>
      <x:c r="I81" s="8" t="str">
        <x:v>3UTR; 5UTR; ORF_gag; ORF_pol; intergenica</x:v>
      </x:c>
      <x:c r="J81" s="8" t="str"/>
    </x:row>
    <x:row r="82" ht="68" customHeight="1">
      <x:c r="A82" s="2" t="str">
        <x:v>PERV</x:v>
      </x:c>
      <x:c r="B82" s="2" t="str">
        <x:v>AJ293657</x:v>
      </x:c>
      <x:c r="C82" s="2" t="str">
        <x:v>PERV-B</x:v>
      </x:c>
      <x:c r="D82" s="8" t="str">
        <x:v>Acesso de sequência</x:v>
      </x:c>
      <x:c r="E82" s="8" t="str">
        <x:v>AJ293657</x:v>
      </x:c>
      <x:c r="F82" s="9" t="n">
        <x:v>1</x:v>
      </x:c>
      <x:c r="G82" s="9" t="n">
        <x:v>0</x:v>
      </x:c>
      <x:c r="H82" s="9" t="n">
        <x:v>5</x:v>
      </x:c>
      <x:c r="I82" s="8" t="str">
        <x:v>3UTR; 5UTR; ORF_gag; ORF_pol; intergenica</x:v>
      </x:c>
      <x:c r="J82" s="8" t="str"/>
    </x:row>
    <x:row r="83" ht="68" customHeight="1">
      <x:c r="A83" s="2" t="str">
        <x:v>PERV</x:v>
      </x:c>
      <x:c r="B83" s="2" t="str">
        <x:v>AM229311</x:v>
      </x:c>
      <x:c r="C83" s="2" t="str">
        <x:v>PERV-C</x:v>
      </x:c>
      <x:c r="D83" s="8" t="str">
        <x:v>Acesso de sequência</x:v>
      </x:c>
      <x:c r="E83" s="8" t="str">
        <x:v>AM229311</x:v>
      </x:c>
      <x:c r="F83" s="9" t="n">
        <x:v>1</x:v>
      </x:c>
      <x:c r="G83" s="9" t="n">
        <x:v>0</x:v>
      </x:c>
      <x:c r="H83" s="9" t="n">
        <x:v>5</x:v>
      </x:c>
      <x:c r="I83" s="8" t="str">
        <x:v>3UTR; 5UTR; ORF_gag; ORF_pol; intergenica</x:v>
      </x:c>
      <x:c r="J83" s="8" t="str"/>
    </x:row>
    <x:row r="84" ht="68" customHeight="1">
      <x:c r="A84" s="2" t="str">
        <x:v>PERV</x:v>
      </x:c>
      <x:c r="B84" s="2" t="str">
        <x:v>AM229312</x:v>
      </x:c>
      <x:c r="C84" s="2" t="str">
        <x:v>PERV-C</x:v>
      </x:c>
      <x:c r="D84" s="8" t="str">
        <x:v>Acesso de sequência</x:v>
      </x:c>
      <x:c r="E84" s="8" t="str">
        <x:v>AM229312</x:v>
      </x:c>
      <x:c r="F84" s="9" t="n">
        <x:v>1</x:v>
      </x:c>
      <x:c r="G84" s="9" t="n">
        <x:v>0</x:v>
      </x:c>
      <x:c r="H84" s="9" t="n">
        <x:v>12</x:v>
      </x:c>
      <x:c r="I84" s="8" t="str">
        <x:v>3UTR; 5UTR; LTR3; LTR5; ORF_gag; ORF_pol; intergenica</x:v>
      </x:c>
      <x:c r="J84" s="8" t="str"/>
    </x:row>
    <x:row r="85" ht="68" customHeight="1">
      <x:c r="A85" s="2" t="str">
        <x:v>PERV</x:v>
      </x:c>
      <x:c r="B85" s="2" t="str">
        <x:v>AM229313</x:v>
      </x:c>
      <x:c r="C85" s="2" t="str">
        <x:v>PERV-C</x:v>
      </x:c>
      <x:c r="D85" s="8" t="str">
        <x:v>Acesso de sequência</x:v>
      </x:c>
      <x:c r="E85" s="8" t="str">
        <x:v>AM229313</x:v>
      </x:c>
      <x:c r="F85" s="9" t="n">
        <x:v>1</x:v>
      </x:c>
      <x:c r="G85" s="9" t="n">
        <x:v>0</x:v>
      </x:c>
      <x:c r="H85" s="9" t="n">
        <x:v>7</x:v>
      </x:c>
      <x:c r="I85" s="8" t="str">
        <x:v>3UTR; 5UTR; ORF_env; ORF_gag; ORF_pol; intergenica</x:v>
      </x:c>
      <x:c r="J85" s="8" t="str"/>
    </x:row>
    <x:row r="86" ht="68" customHeight="1">
      <x:c r="A86" s="2" t="str">
        <x:v>PERV</x:v>
      </x:c>
      <x:c r="B86" s="2" t="str">
        <x:v>AY099323</x:v>
      </x:c>
      <x:c r="C86" s="2" t="str">
        <x:v>PERV-A</x:v>
      </x:c>
      <x:c r="D86" s="8" t="str">
        <x:v>Acesso de sequência</x:v>
      </x:c>
      <x:c r="E86" s="8" t="str">
        <x:v>AY099323</x:v>
      </x:c>
      <x:c r="F86" s="9" t="n">
        <x:v>1</x:v>
      </x:c>
      <x:c r="G86" s="9" t="n">
        <x:v>0</x:v>
      </x:c>
      <x:c r="H86" s="9" t="n">
        <x:v>6</x:v>
      </x:c>
      <x:c r="I86" s="8" t="str">
        <x:v>3UTR; 5UTR; ORF_ORF; ORF_gag; ORF_pol; intergenica</x:v>
      </x:c>
      <x:c r="J86" s="8" t="str"/>
    </x:row>
    <x:row r="87" ht="68" customHeight="1">
      <x:c r="A87" s="2" t="str">
        <x:v>PERV</x:v>
      </x:c>
      <x:c r="B87" s="2" t="str">
        <x:v>AY099324</x:v>
      </x:c>
      <x:c r="C87" s="2" t="str">
        <x:v>PERV-B</x:v>
      </x:c>
      <x:c r="D87" s="8" t="str">
        <x:v>Acesso de sequência</x:v>
      </x:c>
      <x:c r="E87" s="8" t="str">
        <x:v>AY099324</x:v>
      </x:c>
      <x:c r="F87" s="9" t="n">
        <x:v>1</x:v>
      </x:c>
      <x:c r="G87" s="9" t="n">
        <x:v>0</x:v>
      </x:c>
      <x:c r="H87" s="9" t="n">
        <x:v>6</x:v>
      </x:c>
      <x:c r="I87" s="8" t="str">
        <x:v>3UTR; 5UTR; ORF_ORF; ORF_gag; ORF_pol; intergenica</x:v>
      </x:c>
      <x:c r="J87" s="8" t="str"/>
    </x:row>
    <x:row r="88" ht="68" customHeight="1">
      <x:c r="A88" s="2" t="str">
        <x:v>PERV</x:v>
      </x:c>
      <x:c r="B88" s="2" t="str">
        <x:v>AY160111</x:v>
      </x:c>
      <x:c r="C88" s="2" t="str">
        <x:v>PERV-A</x:v>
      </x:c>
      <x:c r="D88" s="8" t="str">
        <x:v>Acesso de sequência</x:v>
      </x:c>
      <x:c r="E88" s="8" t="str">
        <x:v>AY160111</x:v>
      </x:c>
      <x:c r="F88" s="9" t="n">
        <x:v>1</x:v>
      </x:c>
      <x:c r="G88" s="9" t="n">
        <x:v>0</x:v>
      </x:c>
      <x:c r="H88" s="9" t="n">
        <x:v>1</x:v>
      </x:c>
      <x:c r="I88" s="8" t="str">
        <x:v>nao_separadas</x:v>
      </x:c>
      <x:c r="J88" s="8" t="str"/>
    </x:row>
    <x:row r="89" ht="68" customHeight="1">
      <x:c r="A89" s="2" t="str">
        <x:v>PERV</x:v>
      </x:c>
      <x:c r="B89" s="2" t="str">
        <x:v>AY160112</x:v>
      </x:c>
      <x:c r="C89" s="2" t="str">
        <x:v>PERV-A</x:v>
      </x:c>
      <x:c r="D89" s="8" t="str">
        <x:v>Acesso de sequência</x:v>
      </x:c>
      <x:c r="E89" s="8" t="str">
        <x:v>AY160112</x:v>
      </x:c>
      <x:c r="F89" s="9" t="n">
        <x:v>1</x:v>
      </x:c>
      <x:c r="G89" s="9" t="n">
        <x:v>0</x:v>
      </x:c>
      <x:c r="H89" s="9" t="n">
        <x:v>1</x:v>
      </x:c>
      <x:c r="I89" s="8" t="str">
        <x:v>nao_separadas</x:v>
      </x:c>
      <x:c r="J89" s="8" t="str"/>
    </x:row>
    <x:row r="90" ht="68" customHeight="1">
      <x:c r="A90" s="2" t="str">
        <x:v>PERV</x:v>
      </x:c>
      <x:c r="B90" s="2" t="str">
        <x:v>AY160113</x:v>
      </x:c>
      <x:c r="C90" s="2" t="str">
        <x:v>PERV-B</x:v>
      </x:c>
      <x:c r="D90" s="8" t="str">
        <x:v>Acesso de sequência</x:v>
      </x:c>
      <x:c r="E90" s="8" t="str">
        <x:v>AY160113</x:v>
      </x:c>
      <x:c r="F90" s="9" t="n">
        <x:v>1</x:v>
      </x:c>
      <x:c r="G90" s="9" t="n">
        <x:v>0</x:v>
      </x:c>
      <x:c r="H90" s="9" t="n">
        <x:v>1</x:v>
      </x:c>
      <x:c r="I90" s="8" t="str">
        <x:v>nao_separadas</x:v>
      </x:c>
      <x:c r="J90" s="8" t="str"/>
    </x:row>
    <x:row r="91" ht="68" customHeight="1">
      <x:c r="A91" s="2" t="str">
        <x:v>PERV</x:v>
      </x:c>
      <x:c r="B91" s="2" t="str">
        <x:v>AY160114</x:v>
      </x:c>
      <x:c r="C91" s="2" t="str">
        <x:v>PERV-B</x:v>
      </x:c>
      <x:c r="D91" s="8" t="str">
        <x:v>Acesso de sequência</x:v>
      </x:c>
      <x:c r="E91" s="8" t="str">
        <x:v>AY160114</x:v>
      </x:c>
      <x:c r="F91" s="9" t="n">
        <x:v>1</x:v>
      </x:c>
      <x:c r="G91" s="9" t="n">
        <x:v>0</x:v>
      </x:c>
      <x:c r="H91" s="9" t="n">
        <x:v>1</x:v>
      </x:c>
      <x:c r="I91" s="8" t="str">
        <x:v>nao_separadas</x:v>
      </x:c>
      <x:c r="J91" s="8" t="str"/>
    </x:row>
    <x:row r="92" ht="68" customHeight="1">
      <x:c r="A92" s="2" t="str">
        <x:v>PERV</x:v>
      </x:c>
      <x:c r="B92" s="2" t="str">
        <x:v>AY953542</x:v>
      </x:c>
      <x:c r="C92" s="2" t="str">
        <x:v>PERV-A-C</x:v>
      </x:c>
      <x:c r="D92" s="8" t="str">
        <x:v>Acesso de sequência</x:v>
      </x:c>
      <x:c r="E92" s="8" t="str">
        <x:v>AY953542</x:v>
      </x:c>
      <x:c r="F92" s="9" t="n">
        <x:v>1</x:v>
      </x:c>
      <x:c r="G92" s="9" t="n">
        <x:v>0</x:v>
      </x:c>
      <x:c r="H92" s="9" t="n">
        <x:v>6</x:v>
      </x:c>
      <x:c r="I92" s="8" t="str">
        <x:v>3UTR; 5UTR; ORF_ORF; ORF_gag; ORF_pol; intergenica</x:v>
      </x:c>
      <x:c r="J92" s="8" t="str"/>
    </x:row>
    <x:row r="93" ht="68" customHeight="1">
      <x:c r="A93" s="2" t="str">
        <x:v>PERV</x:v>
      </x:c>
      <x:c r="B93" s="2" t="str">
        <x:v>EF133960</x:v>
      </x:c>
      <x:c r="C93" s="2" t="str">
        <x:v>PERV-C</x:v>
      </x:c>
      <x:c r="D93" s="8" t="str">
        <x:v>Acesso de sequência</x:v>
      </x:c>
      <x:c r="E93" s="8" t="str">
        <x:v>EF133960</x:v>
      </x:c>
      <x:c r="F93" s="9" t="n">
        <x:v>1</x:v>
      </x:c>
      <x:c r="G93" s="9" t="n">
        <x:v>0</x:v>
      </x:c>
      <x:c r="H93" s="9" t="n">
        <x:v>5</x:v>
      </x:c>
      <x:c r="I93" s="8" t="str">
        <x:v>3UTR; 5UTR; ORF_gag; ORF_pol; intergenica</x:v>
      </x:c>
      <x:c r="J93" s="8" t="str"/>
    </x:row>
    <x:row r="94" ht="68" customHeight="1">
      <x:c r="A94" s="2" t="str">
        <x:v>PERV</x:v>
      </x:c>
      <x:c r="B94" s="2" t="str">
        <x:v>HM159246</x:v>
      </x:c>
      <x:c r="C94" s="2" t="str">
        <x:v>PERV-A</x:v>
      </x:c>
      <x:c r="D94" s="8" t="str">
        <x:v>Acesso de sequência</x:v>
      </x:c>
      <x:c r="E94" s="8" t="str">
        <x:v>HM159246</x:v>
      </x:c>
      <x:c r="F94" s="9" t="n">
        <x:v>1</x:v>
      </x:c>
      <x:c r="G94" s="9" t="n">
        <x:v>0</x:v>
      </x:c>
      <x:c r="H94" s="9" t="n">
        <x:v>5</x:v>
      </x:c>
      <x:c r="I94" s="8" t="str">
        <x:v>3UTR; 5UTR; ORF_gag; ORF_pol; intergenica</x:v>
      </x:c>
      <x:c r="J94" s="8" t="str"/>
    </x:row>
    <x:row r="95" ht="68" customHeight="1">
      <x:c r="A95" s="2" t="str">
        <x:v>PERV</x:v>
      </x:c>
      <x:c r="B95" s="2" t="str">
        <x:v>HQ536006</x:v>
      </x:c>
      <x:c r="C95" s="2" t="str">
        <x:v>PERV-A</x:v>
      </x:c>
      <x:c r="D95" s="8" t="str">
        <x:v>Acesso de sequência</x:v>
      </x:c>
      <x:c r="E95" s="8" t="str">
        <x:v>HQ536006</x:v>
      </x:c>
      <x:c r="F95" s="9" t="n">
        <x:v>1</x:v>
      </x:c>
      <x:c r="G95" s="9" t="n">
        <x:v>0</x:v>
      </x:c>
      <x:c r="H95" s="9" t="n">
        <x:v>7</x:v>
      </x:c>
      <x:c r="I95" s="8" t="str">
        <x:v>3UTR; 5UTR; ORF_env; ORF_gag; ORF_pol; intergenica</x:v>
      </x:c>
      <x:c r="J95" s="8" t="str"/>
    </x:row>
    <x:row r="96" ht="68" customHeight="1">
      <x:c r="A96" s="2" t="str">
        <x:v>PERV</x:v>
      </x:c>
      <x:c r="B96" s="2" t="str">
        <x:v>HQ536008</x:v>
      </x:c>
      <x:c r="C96" s="2" t="str">
        <x:v>PERV-B</x:v>
      </x:c>
      <x:c r="D96" s="8" t="str">
        <x:v>Acesso de sequência</x:v>
      </x:c>
      <x:c r="E96" s="8" t="str">
        <x:v>HQ536008</x:v>
      </x:c>
      <x:c r="F96" s="9" t="n">
        <x:v>1</x:v>
      </x:c>
      <x:c r="G96" s="9" t="n">
        <x:v>0</x:v>
      </x:c>
      <x:c r="H96" s="9" t="n">
        <x:v>7</x:v>
      </x:c>
      <x:c r="I96" s="8" t="str">
        <x:v>3UTR; 5UTR; ORF_env; ORF_gag; ORF_pol; intergenica</x:v>
      </x:c>
      <x:c r="J96" s="8" t="str"/>
    </x:row>
    <x:row r="97" ht="68" customHeight="1">
      <x:c r="A97" s="2" t="str">
        <x:v>PERV</x:v>
      </x:c>
      <x:c r="B97" s="2" t="str">
        <x:v>HQ536009</x:v>
      </x:c>
      <x:c r="C97" s="2" t="str">
        <x:v>PERV-B</x:v>
      </x:c>
      <x:c r="D97" s="8" t="str">
        <x:v>Acesso de sequência</x:v>
      </x:c>
      <x:c r="E97" s="8" t="str">
        <x:v>HQ536009</x:v>
      </x:c>
      <x:c r="F97" s="9" t="n">
        <x:v>1</x:v>
      </x:c>
      <x:c r="G97" s="9" t="n">
        <x:v>0</x:v>
      </x:c>
      <x:c r="H97" s="9" t="n">
        <x:v>5</x:v>
      </x:c>
      <x:c r="I97" s="8" t="str">
        <x:v>3UTR; 5UTR; ORF_gag; ORF_pol; intergenica</x:v>
      </x:c>
      <x:c r="J97" s="8" t="str"/>
    </x:row>
    <x:row r="98" ht="68" customHeight="1">
      <x:c r="A98" s="2" t="str">
        <x:v>PERV</x:v>
      </x:c>
      <x:c r="B98" s="2" t="str">
        <x:v>HQ536010</x:v>
      </x:c>
      <x:c r="C98" s="2" t="str">
        <x:v>PERV-B</x:v>
      </x:c>
      <x:c r="D98" s="8" t="str">
        <x:v>Acesso de sequência</x:v>
      </x:c>
      <x:c r="E98" s="8" t="str">
        <x:v>HQ536010</x:v>
      </x:c>
      <x:c r="F98" s="9" t="n">
        <x:v>1</x:v>
      </x:c>
      <x:c r="G98" s="9" t="n">
        <x:v>0</x:v>
      </x:c>
      <x:c r="H98" s="9" t="n">
        <x:v>7</x:v>
      </x:c>
      <x:c r="I98" s="8" t="str">
        <x:v>3UTR; 5UTR; ORF_env; ORF_gag; ORF_pol; intergenica</x:v>
      </x:c>
      <x:c r="J98" s="8" t="str"/>
    </x:row>
    <x:row r="99" ht="68" customHeight="1">
      <x:c r="A99" s="2" t="str">
        <x:v>PERV</x:v>
      </x:c>
      <x:c r="B99" s="2" t="str">
        <x:v>HQ536014</x:v>
      </x:c>
      <x:c r="C99" s="2" t="str">
        <x:v>PERV-C</x:v>
      </x:c>
      <x:c r="D99" s="8" t="str">
        <x:v>Acesso de sequência</x:v>
      </x:c>
      <x:c r="E99" s="8" t="str">
        <x:v>HQ536014</x:v>
      </x:c>
      <x:c r="F99" s="9" t="n">
        <x:v>1</x:v>
      </x:c>
      <x:c r="G99" s="9" t="n">
        <x:v>0</x:v>
      </x:c>
      <x:c r="H99" s="9" t="n">
        <x:v>5</x:v>
      </x:c>
      <x:c r="I99" s="8" t="str">
        <x:v>3UTR; 5UTR; ORF_gag; ORF_pol; intergenica</x:v>
      </x:c>
      <x:c r="J99" s="8" t="str"/>
    </x:row>
    <x:row r="100" ht="68" customHeight="1">
      <x:c r="A100" s="2" t="str">
        <x:v>PERV</x:v>
      </x:c>
      <x:c r="B100" s="2" t="str">
        <x:v>HQ536016</x:v>
      </x:c>
      <x:c r="C100" s="2" t="str">
        <x:v>PERV-C</x:v>
      </x:c>
      <x:c r="D100" s="8" t="str">
        <x:v>Acesso de sequência</x:v>
      </x:c>
      <x:c r="E100" s="8" t="str">
        <x:v>HQ536016</x:v>
      </x:c>
      <x:c r="F100" s="9" t="n">
        <x:v>1</x:v>
      </x:c>
      <x:c r="G100" s="9" t="n">
        <x:v>0</x:v>
      </x:c>
      <x:c r="H100" s="9" t="n">
        <x:v>5</x:v>
      </x:c>
      <x:c r="I100" s="8" t="str">
        <x:v>3UTR; 5UTR; ORF_gag; ORF_pol; intergenica</x:v>
      </x:c>
      <x:c r="J100" s="8" t="str"/>
    </x:row>
    <x:row r="101" ht="68" customHeight="1">
      <x:c r="A101" s="2" t="str">
        <x:v>PERV</x:v>
      </x:c>
      <x:c r="B101" s="2" t="str">
        <x:v>HQ540591</x:v>
      </x:c>
      <x:c r="C101" s="2" t="str">
        <x:v>PERV-A</x:v>
      </x:c>
      <x:c r="D101" s="8" t="str">
        <x:v>Acesso de sequência</x:v>
      </x:c>
      <x:c r="E101" s="8" t="str">
        <x:v>HQ540591</x:v>
      </x:c>
      <x:c r="F101" s="9" t="n">
        <x:v>1</x:v>
      </x:c>
      <x:c r="G101" s="9" t="n">
        <x:v>0</x:v>
      </x:c>
      <x:c r="H101" s="9" t="n">
        <x:v>7</x:v>
      </x:c>
      <x:c r="I101" s="8" t="str">
        <x:v>3UTR; 5UTR; ORF_env; ORF_gag; ORF_pol; intergenica</x:v>
      </x:c>
      <x:c r="J101" s="8" t="str"/>
    </x:row>
    <x:row r="102" ht="68" customHeight="1">
      <x:c r="A102" s="2" t="str">
        <x:v>PERV</x:v>
      </x:c>
      <x:c r="B102" s="2" t="str">
        <x:v>HQ540592</x:v>
      </x:c>
      <x:c r="C102" s="2" t="str">
        <x:v>PERV-A</x:v>
      </x:c>
      <x:c r="D102" s="8" t="str">
        <x:v>Acesso de sequência</x:v>
      </x:c>
      <x:c r="E102" s="8" t="str">
        <x:v>HQ540592</x:v>
      </x:c>
      <x:c r="F102" s="9" t="n">
        <x:v>1</x:v>
      </x:c>
      <x:c r="G102" s="9" t="n">
        <x:v>0</x:v>
      </x:c>
      <x:c r="H102" s="9" t="n">
        <x:v>5</x:v>
      </x:c>
      <x:c r="I102" s="8" t="str">
        <x:v>3UTR; 5UTR; ORF_gag; ORF_pol; intergenica</x:v>
      </x:c>
      <x:c r="J102" s="8" t="str"/>
    </x:row>
    <x:row r="103" ht="68" customHeight="1">
      <x:c r="A103" s="2" t="str">
        <x:v>PERV</x:v>
      </x:c>
      <x:c r="B103" s="2" t="str">
        <x:v>HQ540593</x:v>
      </x:c>
      <x:c r="C103" s="2" t="str">
        <x:v>PERV-B</x:v>
      </x:c>
      <x:c r="D103" s="8" t="str">
        <x:v>Acesso de sequência</x:v>
      </x:c>
      <x:c r="E103" s="8" t="str">
        <x:v>HQ540593</x:v>
      </x:c>
      <x:c r="F103" s="9" t="n">
        <x:v>1</x:v>
      </x:c>
      <x:c r="G103" s="9" t="n">
        <x:v>0</x:v>
      </x:c>
      <x:c r="H103" s="9" t="n">
        <x:v>7</x:v>
      </x:c>
      <x:c r="I103" s="8" t="str">
        <x:v>3UTR; 5UTR; ORF_env; ORF_gag; ORF_pol; intergenica</x:v>
      </x:c>
      <x:c r="J103" s="8" t="str"/>
    </x:row>
    <x:row r="104" ht="68" customHeight="1">
      <x:c r="A104" s="2" t="str">
        <x:v>PERV</x:v>
      </x:c>
      <x:c r="B104" s="2" t="str">
        <x:v>HQ540594</x:v>
      </x:c>
      <x:c r="C104" s="2" t="str">
        <x:v>PERV-B</x:v>
      </x:c>
      <x:c r="D104" s="8" t="str">
        <x:v>Acesso de sequência</x:v>
      </x:c>
      <x:c r="E104" s="8" t="str">
        <x:v>HQ540594</x:v>
      </x:c>
      <x:c r="F104" s="9" t="n">
        <x:v>1</x:v>
      </x:c>
      <x:c r="G104" s="9" t="n">
        <x:v>0</x:v>
      </x:c>
      <x:c r="H104" s="9" t="n">
        <x:v>7</x:v>
      </x:c>
      <x:c r="I104" s="8" t="str">
        <x:v>3UTR; 5UTR; ORF_env; ORF_gag; ORF_pol; intergenica</x:v>
      </x:c>
      <x:c r="J104" s="8" t="str"/>
    </x:row>
    <x:row r="105" ht="68" customHeight="1">
      <x:c r="A105" s="2" t="str">
        <x:v>PERV</x:v>
      </x:c>
      <x:c r="B105" s="2" t="str">
        <x:v>HQ540595</x:v>
      </x:c>
      <x:c r="C105" s="2" t="str">
        <x:v>PERV-B</x:v>
      </x:c>
      <x:c r="D105" s="8" t="str">
        <x:v>Acesso de sequência</x:v>
      </x:c>
      <x:c r="E105" s="8" t="str">
        <x:v>HQ540595</x:v>
      </x:c>
      <x:c r="F105" s="9" t="n">
        <x:v>1</x:v>
      </x:c>
      <x:c r="G105" s="9" t="n">
        <x:v>0</x:v>
      </x:c>
      <x:c r="H105" s="9" t="n">
        <x:v>7</x:v>
      </x:c>
      <x:c r="I105" s="8" t="str">
        <x:v>3UTR; 5UTR; ORF_env; ORF_gag; ORF_pol; intergenica</x:v>
      </x:c>
      <x:c r="J105" s="8" t="str"/>
    </x:row>
    <x:row r="106" ht="68" customHeight="1">
      <x:c r="A106" s="2" t="str">
        <x:v>PERV</x:v>
      </x:c>
      <x:c r="B106" s="2" t="str">
        <x:v>KC116221</x:v>
      </x:c>
      <x:c r="C106" s="2" t="str">
        <x:v>PERV-C</x:v>
      </x:c>
      <x:c r="D106" s="8" t="str">
        <x:v>Acesso de sequência</x:v>
      </x:c>
      <x:c r="E106" s="8" t="str">
        <x:v>KC116221</x:v>
      </x:c>
      <x:c r="F106" s="9" t="n">
        <x:v>1</x:v>
      </x:c>
      <x:c r="G106" s="9" t="n">
        <x:v>0</x:v>
      </x:c>
      <x:c r="H106" s="9" t="n">
        <x:v>8</x:v>
      </x:c>
      <x:c r="I106" s="8" t="str">
        <x:v>3UTR; 5UTR; LTR3; LTR5; ORF_ORF; ORF_gag; ORF_pol; intergenica</x:v>
      </x:c>
      <x:c r="J106" s="8" t="str"/>
    </x:row>
    <x:row r="107" ht="68" customHeight="1">
      <x:c r="A107" s="2" t="str">
        <x:v>PERV</x:v>
      </x:c>
      <x:c r="B107" s="2" t="str">
        <x:v>KY352351</x:v>
      </x:c>
      <x:c r="C107" s="2" t="str">
        <x:v>PERV-C</x:v>
      </x:c>
      <x:c r="D107" s="8" t="str">
        <x:v>Acesso de sequência</x:v>
      </x:c>
      <x:c r="E107" s="8" t="str">
        <x:v>KY352351</x:v>
      </x:c>
      <x:c r="F107" s="9" t="n">
        <x:v>1</x:v>
      </x:c>
      <x:c r="G107" s="9" t="n">
        <x:v>0</x:v>
      </x:c>
      <x:c r="H107" s="9" t="n">
        <x:v>7</x:v>
      </x:c>
      <x:c r="I107" s="8" t="str">
        <x:v>3UTR; 5UTR; LTR3; LTR5; ORF_gag; ORF_pol; intergenica</x:v>
      </x:c>
      <x:c r="J107" s="8" t="str"/>
    </x:row>
    <x:row r="108" ht="68" customHeight="1">
      <x:c r="A108" s="2" t="str">
        <x:v>PERV</x:v>
      </x:c>
      <x:c r="B108" s="2" t="str">
        <x:v>PERV-A-1-132.0M</x:v>
      </x:c>
      <x:c r="C108" s="2" t="str">
        <x:v>PERV-A</x:v>
      </x:c>
      <x:c r="D108" s="8" t="str">
        <x:v>Locus genômico</x:v>
      </x:c>
      <x:c r="E108" s="8" t="str">
        <x:v>PERV-A-1-132.0M</x:v>
      </x:c>
      <x:c r="F108" s="9" t="n">
        <x:v>1</x:v>
      </x:c>
      <x:c r="G108" s="9" t="n">
        <x:v>0</x:v>
      </x:c>
      <x:c r="H108" s="9" t="n">
        <x:v>9</x:v>
      </x:c>
      <x:c r="I108" s="8" t="str">
        <x:v>3UTR; 5UTR; LTR3; LTR5; ORF_env; ORF_gag; ORF_pol; intergenica</x:v>
      </x:c>
      <x:c r="J108" s="8" t="str"/>
    </x:row>
    <x:row r="109" ht="68" customHeight="1">
      <x:c r="A109" s="2" t="str">
        <x:v>PERV</x:v>
      </x:c>
      <x:c r="B109" s="2" t="str">
        <x:v>PERV-A-1-262.2M</x:v>
      </x:c>
      <x:c r="C109" s="2" t="str">
        <x:v>PERV-A</x:v>
      </x:c>
      <x:c r="D109" s="8" t="str">
        <x:v>Locus genômico</x:v>
      </x:c>
      <x:c r="E109" s="8" t="str">
        <x:v>PERV-A-1-262.2M</x:v>
      </x:c>
      <x:c r="F109" s="9" t="n">
        <x:v>1</x:v>
      </x:c>
      <x:c r="G109" s="9" t="n">
        <x:v>0</x:v>
      </x:c>
      <x:c r="H109" s="9" t="n">
        <x:v>9</x:v>
      </x:c>
      <x:c r="I109" s="8" t="str">
        <x:v>3UTR; 5UTR; LTR3; LTR5; ORF_env; ORF_gag; ORF_pol; intergenica</x:v>
      </x:c>
      <x:c r="J109" s="8" t="str"/>
    </x:row>
    <x:row r="110" ht="68" customHeight="1">
      <x:c r="A110" s="2" t="str">
        <x:v>PERV</x:v>
      </x:c>
      <x:c r="B110" s="2" t="str">
        <x:v>PERV-A-12-28.2M</x:v>
      </x:c>
      <x:c r="C110" s="2" t="str">
        <x:v>PERV-A</x:v>
      </x:c>
      <x:c r="D110" s="8" t="str">
        <x:v>Locus genômico</x:v>
      </x:c>
      <x:c r="E110" s="8" t="str">
        <x:v>PERV-A-12-28.2M</x:v>
      </x:c>
      <x:c r="F110" s="9" t="n">
        <x:v>1</x:v>
      </x:c>
      <x:c r="G110" s="9" t="n">
        <x:v>0</x:v>
      </x:c>
      <x:c r="H110" s="9" t="n">
        <x:v>9</x:v>
      </x:c>
      <x:c r="I110" s="8" t="str">
        <x:v>3UTR; 5UTR; LTR3; LTR5; ORF_env; ORF_gag; ORF_pol; intergenica</x:v>
      </x:c>
      <x:c r="J110" s="8" t="str"/>
    </x:row>
    <x:row r="111" ht="68" customHeight="1">
      <x:c r="A111" s="2" t="str">
        <x:v>PERV</x:v>
      </x:c>
      <x:c r="B111" s="2" t="str">
        <x:v>PERV-A-13-142.0M</x:v>
      </x:c>
      <x:c r="C111" s="2" t="str">
        <x:v>PERV-A</x:v>
      </x:c>
      <x:c r="D111" s="8" t="str">
        <x:v>Locus genômico</x:v>
      </x:c>
      <x:c r="E111" s="8" t="str">
        <x:v>PERV-A-13-142.0M</x:v>
      </x:c>
      <x:c r="F111" s="9" t="n">
        <x:v>1</x:v>
      </x:c>
      <x:c r="G111" s="9" t="n">
        <x:v>0</x:v>
      </x:c>
      <x:c r="H111" s="9" t="n">
        <x:v>6</x:v>
      </x:c>
      <x:c r="I111" s="8" t="str">
        <x:v>3UTR; 5UTR; ORF_env; ORF_gag; ORF_pol; intergenica</x:v>
      </x:c>
      <x:c r="J111" s="8" t="str"/>
    </x:row>
    <x:row r="112" ht="68" customHeight="1">
      <x:c r="A112" s="2" t="str">
        <x:v>PERV</x:v>
      </x:c>
      <x:c r="B112" s="2" t="str">
        <x:v>PERV-A-13-146.7M</x:v>
      </x:c>
      <x:c r="C112" s="2" t="str">
        <x:v>PERV-A</x:v>
      </x:c>
      <x:c r="D112" s="8" t="str">
        <x:v>Locus genômico</x:v>
      </x:c>
      <x:c r="E112" s="8" t="str">
        <x:v>PERV-A-13-146.7M</x:v>
      </x:c>
      <x:c r="F112" s="9" t="n">
        <x:v>1</x:v>
      </x:c>
      <x:c r="G112" s="9" t="n">
        <x:v>0</x:v>
      </x:c>
      <x:c r="H112" s="9" t="n">
        <x:v>5</x:v>
      </x:c>
      <x:c r="I112" s="8" t="str">
        <x:v>3UTR; 5UTR; ORF_gag; ORF_pol; intergenica</x:v>
      </x:c>
      <x:c r="J112" s="8" t="str"/>
    </x:row>
    <x:row r="113" ht="68" customHeight="1">
      <x:c r="A113" s="2" t="str">
        <x:v>PERV</x:v>
      </x:c>
      <x:c r="B113" s="2" t="str">
        <x:v>PERV-A-15-66.8M</x:v>
      </x:c>
      <x:c r="C113" s="2" t="str">
        <x:v>PERV-A</x:v>
      </x:c>
      <x:c r="D113" s="8" t="str">
        <x:v>Locus genômico</x:v>
      </x:c>
      <x:c r="E113" s="8" t="str">
        <x:v>PERV-A-15-66.8M</x:v>
      </x:c>
      <x:c r="F113" s="9" t="n">
        <x:v>1</x:v>
      </x:c>
      <x:c r="G113" s="9" t="n">
        <x:v>0</x:v>
      </x:c>
      <x:c r="H113" s="9" t="n">
        <x:v>9</x:v>
      </x:c>
      <x:c r="I113" s="8" t="str">
        <x:v>3UTR; 5UTR; LTR3; LTR5; ORF_env; ORF_gag; ORF_pol; intergenica</x:v>
      </x:c>
      <x:c r="J113" s="8" t="str"/>
    </x:row>
    <x:row r="114" ht="68" customHeight="1">
      <x:c r="A114" s="2" t="str">
        <x:v>PERV</x:v>
      </x:c>
      <x:c r="B114" s="2" t="str">
        <x:v>PERV-A-17-3.7M</x:v>
      </x:c>
      <x:c r="C114" s="2" t="str">
        <x:v>PERV-A</x:v>
      </x:c>
      <x:c r="D114" s="8" t="str">
        <x:v>Locus genômico</x:v>
      </x:c>
      <x:c r="E114" s="8" t="str">
        <x:v>PERV-A-17-3.7M</x:v>
      </x:c>
      <x:c r="F114" s="9" t="n">
        <x:v>1</x:v>
      </x:c>
      <x:c r="G114" s="9" t="n">
        <x:v>0</x:v>
      </x:c>
      <x:c r="H114" s="9" t="n">
        <x:v>7</x:v>
      </x:c>
      <x:c r="I114" s="8" t="str">
        <x:v>3UTR; 5UTR; ORF_env; ORF_gag; ORF_pol; intergenica</x:v>
      </x:c>
      <x:c r="J114" s="8" t="str"/>
    </x:row>
    <x:row r="115" ht="68" customHeight="1">
      <x:c r="A115" s="2" t="str">
        <x:v>PERV</x:v>
      </x:c>
      <x:c r="B115" s="2" t="str">
        <x:v>PERV-A-17-33.1M</x:v>
      </x:c>
      <x:c r="C115" s="2" t="str">
        <x:v>PERV-A</x:v>
      </x:c>
      <x:c r="D115" s="8" t="str">
        <x:v>Locus genômico</x:v>
      </x:c>
      <x:c r="E115" s="8" t="str">
        <x:v>PERV-A-17-33.1M</x:v>
      </x:c>
      <x:c r="F115" s="9" t="n">
        <x:v>1</x:v>
      </x:c>
      <x:c r="G115" s="9" t="n">
        <x:v>0</x:v>
      </x:c>
      <x:c r="H115" s="9" t="n">
        <x:v>9</x:v>
      </x:c>
      <x:c r="I115" s="8" t="str">
        <x:v>3UTR; 5UTR; LTR3; LTR5; ORF_env; ORF_gag; ORF_pol; intergenica</x:v>
      </x:c>
      <x:c r="J115" s="8" t="str"/>
    </x:row>
    <x:row r="116" ht="68" customHeight="1">
      <x:c r="A116" s="2" t="str">
        <x:v>PERV</x:v>
      </x:c>
      <x:c r="B116" s="2" t="str">
        <x:v>PERV-A-3-10.6M</x:v>
      </x:c>
      <x:c r="C116" s="2" t="str">
        <x:v>PERV-A</x:v>
      </x:c>
      <x:c r="D116" s="8" t="str">
        <x:v>Locus genômico</x:v>
      </x:c>
      <x:c r="E116" s="8" t="str">
        <x:v>PERV-A-3-10.6M</x:v>
      </x:c>
      <x:c r="F116" s="9" t="n">
        <x:v>1</x:v>
      </x:c>
      <x:c r="G116" s="9" t="n">
        <x:v>0</x:v>
      </x:c>
      <x:c r="H116" s="9" t="n">
        <x:v>7</x:v>
      </x:c>
      <x:c r="I116" s="8" t="str">
        <x:v>3UTR; 5UTR; ORF_env; ORF_gag; ORF_pol; intergenica</x:v>
      </x:c>
      <x:c r="J116" s="8" t="str"/>
    </x:row>
    <x:row r="117" ht="68" customHeight="1">
      <x:c r="A117" s="2" t="str">
        <x:v>PERV</x:v>
      </x:c>
      <x:c r="B117" s="2" t="str">
        <x:v>PERV-A-5-92.1M</x:v>
      </x:c>
      <x:c r="C117" s="2" t="str">
        <x:v>PERV-A</x:v>
      </x:c>
      <x:c r="D117" s="8" t="str">
        <x:v>Locus genômico</x:v>
      </x:c>
      <x:c r="E117" s="8" t="str">
        <x:v>ERV6A; PERV-A-5-92.1M</x:v>
      </x:c>
      <x:c r="F117" s="9" t="n">
        <x:v>1</x:v>
      </x:c>
      <x:c r="G117" s="9" t="n">
        <x:v>1</x:v>
      </x:c>
      <x:c r="H117" s="9" t="n">
        <x:v>15</x:v>
      </x:c>
      <x:c r="I117" s="8" t="str">
        <x:v>3UTR; 5UTR; LTR3; LTR5; LTR_nao_posicionada; ORF_env; ORF_gag; ORF_pol; completas_fornecidas; intergenica; remanescente_nao_anotado</x:v>
      </x:c>
      <x:c r="J117" s="8" t="str">
        <x:v>ERV6A/ERV6B vinculado ao locus já presente pelas coordenadas publicadas no artigo; não conta como novo locus. I e LTR são partes do representante.</x:v>
      </x:c>
    </x:row>
    <x:row r="118" ht="68" customHeight="1">
      <x:c r="A118" s="2" t="str">
        <x:v>PERV</x:v>
      </x:c>
      <x:c r="B118" s="2" t="str">
        <x:v>PERV-A-7-105.7M</x:v>
      </x:c>
      <x:c r="C118" s="2" t="str">
        <x:v>PERV-A</x:v>
      </x:c>
      <x:c r="D118" s="8" t="str">
        <x:v>Locus genômico</x:v>
      </x:c>
      <x:c r="E118" s="8" t="str">
        <x:v>PERV-A-7-105.7M</x:v>
      </x:c>
      <x:c r="F118" s="9" t="n">
        <x:v>1</x:v>
      </x:c>
      <x:c r="G118" s="9" t="n">
        <x:v>0</x:v>
      </x:c>
      <x:c r="H118" s="9" t="n">
        <x:v>7</x:v>
      </x:c>
      <x:c r="I118" s="8" t="str">
        <x:v>3UTR; 5UTR; ORF_env; ORF_gag; ORF_pol; intergenica</x:v>
      </x:c>
      <x:c r="J118" s="8" t="str"/>
    </x:row>
    <x:row r="119" ht="68" customHeight="1">
      <x:c r="A119" s="2" t="str">
        <x:v>PERV</x:v>
      </x:c>
      <x:c r="B119" s="2" t="str">
        <x:v>PERV-A-8-51.6M</x:v>
      </x:c>
      <x:c r="C119" s="2" t="str">
        <x:v>PERV-A</x:v>
      </x:c>
      <x:c r="D119" s="8" t="str">
        <x:v>Locus genômico</x:v>
      </x:c>
      <x:c r="E119" s="8" t="str">
        <x:v>PERV-A-8-51.6M</x:v>
      </x:c>
      <x:c r="F119" s="9" t="n">
        <x:v>1</x:v>
      </x:c>
      <x:c r="G119" s="9" t="n">
        <x:v>0</x:v>
      </x:c>
      <x:c r="H119" s="9" t="n">
        <x:v>9</x:v>
      </x:c>
      <x:c r="I119" s="8" t="str">
        <x:v>3UTR; 5UTR; LTR3; LTR5; ORF_env; ORF_gag; ORF_pol; intergenica</x:v>
      </x:c>
      <x:c r="J119" s="8" t="str"/>
    </x:row>
    <x:row r="120" ht="68" customHeight="1">
      <x:c r="A120" s="2" t="str">
        <x:v>PERV</x:v>
      </x:c>
      <x:c r="B120" s="2" t="str">
        <x:v>PERV-A-U136-0.5M</x:v>
      </x:c>
      <x:c r="C120" s="2" t="str">
        <x:v>PERV-A</x:v>
      </x:c>
      <x:c r="D120" s="8" t="str">
        <x:v>Locus genômico</x:v>
      </x:c>
      <x:c r="E120" s="8" t="str">
        <x:v>PERV-A-U136-0.5M</x:v>
      </x:c>
      <x:c r="F120" s="9" t="n">
        <x:v>1</x:v>
      </x:c>
      <x:c r="G120" s="9" t="n">
        <x:v>0</x:v>
      </x:c>
      <x:c r="H120" s="9" t="n">
        <x:v>9</x:v>
      </x:c>
      <x:c r="I120" s="8" t="str">
        <x:v>3UTR; 5UTR; LTR3; LTR5; ORF_env; ORF_gag; ORF_pol; intergenica</x:v>
      </x:c>
      <x:c r="J120" s="8" t="str"/>
    </x:row>
    <x:row r="121" ht="68" customHeight="1">
      <x:c r="A121" s="2" t="str">
        <x:v>PERV</x:v>
      </x:c>
      <x:c r="B121" s="2" t="str">
        <x:v>PERV-A-X-73.7M</x:v>
      </x:c>
      <x:c r="C121" s="2" t="str">
        <x:v>PERV-A</x:v>
      </x:c>
      <x:c r="D121" s="8" t="str">
        <x:v>Locus genômico</x:v>
      </x:c>
      <x:c r="E121" s="8" t="str">
        <x:v>PERV-A-X-73.7M</x:v>
      </x:c>
      <x:c r="F121" s="9" t="n">
        <x:v>1</x:v>
      </x:c>
      <x:c r="G121" s="9" t="n">
        <x:v>0</x:v>
      </x:c>
      <x:c r="H121" s="9" t="n">
        <x:v>9</x:v>
      </x:c>
      <x:c r="I121" s="8" t="str">
        <x:v>3UTR; 5UTR; LTR3; LTR5; ORF_env; ORF_gag; ORF_pol; intergenica</x:v>
      </x:c>
      <x:c r="J121" s="8" t="str"/>
    </x:row>
    <x:row r="122" ht="68" customHeight="1">
      <x:c r="A122" s="2" t="str">
        <x:v>PERV</x:v>
      </x:c>
      <x:c r="B122" s="2" t="str">
        <x:v>PERV-A-Y-20.1M</x:v>
      </x:c>
      <x:c r="C122" s="2" t="str">
        <x:v>PERV-A</x:v>
      </x:c>
      <x:c r="D122" s="8" t="str">
        <x:v>Locus genômico</x:v>
      </x:c>
      <x:c r="E122" s="8" t="str">
        <x:v>PERV-A-Y-20.1M</x:v>
      </x:c>
      <x:c r="F122" s="9" t="n">
        <x:v>1</x:v>
      </x:c>
      <x:c r="G122" s="9" t="n">
        <x:v>0</x:v>
      </x:c>
      <x:c r="H122" s="9" t="n">
        <x:v>7</x:v>
      </x:c>
      <x:c r="I122" s="8" t="str">
        <x:v>3UTR; 5UTR; ORF_env; ORF_gag; ORF_pol; intergenica</x:v>
      </x:c>
      <x:c r="J122" s="8" t="str"/>
    </x:row>
    <x:row r="123" ht="68" customHeight="1">
      <x:c r="A123" s="2" t="str">
        <x:v>PERV</x:v>
      </x:c>
      <x:c r="B123" s="2" t="str">
        <x:v>PERV-A-Y-21.8M</x:v>
      </x:c>
      <x:c r="C123" s="2" t="str">
        <x:v>PERV-A</x:v>
      </x:c>
      <x:c r="D123" s="8" t="str">
        <x:v>Locus genômico</x:v>
      </x:c>
      <x:c r="E123" s="8" t="str">
        <x:v>PERV-A-Y-21.8M</x:v>
      </x:c>
      <x:c r="F123" s="9" t="n">
        <x:v>1</x:v>
      </x:c>
      <x:c r="G123" s="9" t="n">
        <x:v>0</x:v>
      </x:c>
      <x:c r="H123" s="9" t="n">
        <x:v>7</x:v>
      </x:c>
      <x:c r="I123" s="8" t="str">
        <x:v>3UTR; 5UTR; ORF_env; ORF_gag; ORF_pol; intergenica</x:v>
      </x:c>
      <x:c r="J123" s="8" t="str"/>
    </x:row>
    <x:row r="124" ht="68" customHeight="1">
      <x:c r="A124" s="2" t="str">
        <x:v>PERV</x:v>
      </x:c>
      <x:c r="B124" s="2" t="str">
        <x:v>PERV-A-Y-25.2M</x:v>
      </x:c>
      <x:c r="C124" s="2" t="str">
        <x:v>PERV-A</x:v>
      </x:c>
      <x:c r="D124" s="8" t="str">
        <x:v>Locus genômico</x:v>
      </x:c>
      <x:c r="E124" s="8" t="str">
        <x:v>PERV-A-Y-25.2M</x:v>
      </x:c>
      <x:c r="F124" s="9" t="n">
        <x:v>1</x:v>
      </x:c>
      <x:c r="G124" s="9" t="n">
        <x:v>0</x:v>
      </x:c>
      <x:c r="H124" s="9" t="n">
        <x:v>5</x:v>
      </x:c>
      <x:c r="I124" s="8" t="str">
        <x:v>3UTR; 5UTR; ORF_gag; ORF_pol; intergenica</x:v>
      </x:c>
      <x:c r="J124" s="8" t="str"/>
    </x:row>
    <x:row r="125" ht="68" customHeight="1">
      <x:c r="A125" s="2" t="str">
        <x:v>PERV</x:v>
      </x:c>
      <x:c r="B125" s="2" t="str">
        <x:v>PERV-Alike-U965-14.7kb</x:v>
      </x:c>
      <x:c r="C125" s="2" t="str">
        <x:v>PERV-Alike</x:v>
      </x:c>
      <x:c r="D125" s="8" t="str">
        <x:v>Locus genômico</x:v>
      </x:c>
      <x:c r="E125" s="8" t="str">
        <x:v>PERV-Alike-U965-14.7kb</x:v>
      </x:c>
      <x:c r="F125" s="9" t="n">
        <x:v>1</x:v>
      </x:c>
      <x:c r="G125" s="9" t="n">
        <x:v>0</x:v>
      </x:c>
      <x:c r="H125" s="9" t="n">
        <x:v>3</x:v>
      </x:c>
      <x:c r="I125" s="8" t="str">
        <x:v>3UTR; 5UTR; ORF_ORF</x:v>
      </x:c>
      <x:c r="J125" s="8" t="str"/>
    </x:row>
    <x:row r="126" ht="68" customHeight="1">
      <x:c r="A126" s="2" t="str">
        <x:v>PERV</x:v>
      </x:c>
      <x:c r="B126" s="2" t="str">
        <x:v>PERV-B-11-38.2M</x:v>
      </x:c>
      <x:c r="C126" s="2" t="str">
        <x:v>PERV-B</x:v>
      </x:c>
      <x:c r="D126" s="8" t="str">
        <x:v>Locus genômico</x:v>
      </x:c>
      <x:c r="E126" s="8" t="str">
        <x:v>PERV-B-11-38.2M</x:v>
      </x:c>
      <x:c r="F126" s="9" t="n">
        <x:v>1</x:v>
      </x:c>
      <x:c r="G126" s="9" t="n">
        <x:v>0</x:v>
      </x:c>
      <x:c r="H126" s="9" t="n">
        <x:v>9</x:v>
      </x:c>
      <x:c r="I126" s="8" t="str">
        <x:v>3UTR; 5UTR; LTR3; LTR5; ORF_env; ORF_gag; ORF_pol; intergenica</x:v>
      </x:c>
      <x:c r="J126" s="8" t="str"/>
    </x:row>
    <x:row r="127" ht="68" customHeight="1">
      <x:c r="A127" s="2" t="str">
        <x:v>PERV</x:v>
      </x:c>
      <x:c r="B127" s="2" t="str">
        <x:v>PERV-B-14-119.7M</x:v>
      </x:c>
      <x:c r="C127" s="2" t="str">
        <x:v>PERV-B</x:v>
      </x:c>
      <x:c r="D127" s="8" t="str">
        <x:v>Locus genômico</x:v>
      </x:c>
      <x:c r="E127" s="8" t="str">
        <x:v>PERV-B-14-119.7M</x:v>
      </x:c>
      <x:c r="F127" s="9" t="n">
        <x:v>1</x:v>
      </x:c>
      <x:c r="G127" s="9" t="n">
        <x:v>0</x:v>
      </x:c>
      <x:c r="H127" s="9" t="n">
        <x:v>9</x:v>
      </x:c>
      <x:c r="I127" s="8" t="str">
        <x:v>3UTR; 5UTR; LTR3; LTR5; ORF_env; ORF_gag; ORF_pol; intergenica</x:v>
      </x:c>
      <x:c r="J127" s="8" t="str"/>
    </x:row>
    <x:row r="128" ht="68" customHeight="1">
      <x:c r="A128" s="2" t="str">
        <x:v>PERV</x:v>
      </x:c>
      <x:c r="B128" s="2" t="str">
        <x:v>PERV-B-15-110.9M</x:v>
      </x:c>
      <x:c r="C128" s="2" t="str">
        <x:v>PERV-B</x:v>
      </x:c>
      <x:c r="D128" s="8" t="str">
        <x:v>Locus genômico</x:v>
      </x:c>
      <x:c r="E128" s="8" t="str">
        <x:v>PERV-B-15-110.9M</x:v>
      </x:c>
      <x:c r="F128" s="9" t="n">
        <x:v>1</x:v>
      </x:c>
      <x:c r="G128" s="9" t="n">
        <x:v>0</x:v>
      </x:c>
      <x:c r="H128" s="9" t="n">
        <x:v>9</x:v>
      </x:c>
      <x:c r="I128" s="8" t="str">
        <x:v>3UTR; 5UTR; LTR3; LTR5; ORF_env; ORF_gag; ORF_pol; intergenica</x:v>
      </x:c>
      <x:c r="J128" s="8" t="str"/>
    </x:row>
    <x:row r="129" ht="68" customHeight="1">
      <x:c r="A129" s="2" t="str">
        <x:v>PERV</x:v>
      </x:c>
      <x:c r="B129" s="2" t="str">
        <x:v>PERV-B-16-59.6M</x:v>
      </x:c>
      <x:c r="C129" s="2" t="str">
        <x:v>PERV-B</x:v>
      </x:c>
      <x:c r="D129" s="8" t="str">
        <x:v>Locus genômico</x:v>
      </x:c>
      <x:c r="E129" s="8" t="str">
        <x:v>PERV-B-16-59.6M</x:v>
      </x:c>
      <x:c r="F129" s="9" t="n">
        <x:v>1</x:v>
      </x:c>
      <x:c r="G129" s="9" t="n">
        <x:v>0</x:v>
      </x:c>
      <x:c r="H129" s="9" t="n">
        <x:v>7</x:v>
      </x:c>
      <x:c r="I129" s="8" t="str">
        <x:v>3UTR; 5UTR; LTR3; LTR5; ORF_gag; ORF_pol; intergenica</x:v>
      </x:c>
      <x:c r="J129" s="8" t="str"/>
    </x:row>
    <x:row r="130" ht="68" customHeight="1">
      <x:c r="A130" s="2" t="str">
        <x:v>PERV</x:v>
      </x:c>
      <x:c r="B130" s="2" t="str">
        <x:v>PERV-B-3-51.1M</x:v>
      </x:c>
      <x:c r="C130" s="2" t="str">
        <x:v>PERV-B</x:v>
      </x:c>
      <x:c r="D130" s="8" t="str">
        <x:v>Locus genômico</x:v>
      </x:c>
      <x:c r="E130" s="8" t="str">
        <x:v>PERV-B-3-51.1M</x:v>
      </x:c>
      <x:c r="F130" s="9" t="n">
        <x:v>1</x:v>
      </x:c>
      <x:c r="G130" s="9" t="n">
        <x:v>0</x:v>
      </x:c>
      <x:c r="H130" s="9" t="n">
        <x:v>9</x:v>
      </x:c>
      <x:c r="I130" s="8" t="str">
        <x:v>3UTR; 5UTR; LTR3; LTR5; ORF_env; ORF_gag; ORF_pol; intergenica</x:v>
      </x:c>
      <x:c r="J130" s="8" t="str"/>
    </x:row>
    <x:row r="131" ht="68" customHeight="1">
      <x:c r="A131" s="2" t="str">
        <x:v>PERV</x:v>
      </x:c>
      <x:c r="B131" s="2" t="str">
        <x:v>PERV-B-4-45.5M</x:v>
      </x:c>
      <x:c r="C131" s="2" t="str">
        <x:v>PERV-B</x:v>
      </x:c>
      <x:c r="D131" s="8" t="str">
        <x:v>Locus genômico</x:v>
      </x:c>
      <x:c r="E131" s="8" t="str">
        <x:v>PERV-B-4-45.5M</x:v>
      </x:c>
      <x:c r="F131" s="9" t="n">
        <x:v>1</x:v>
      </x:c>
      <x:c r="G131" s="9" t="n">
        <x:v>0</x:v>
      </x:c>
      <x:c r="H131" s="9" t="n">
        <x:v>9</x:v>
      </x:c>
      <x:c r="I131" s="8" t="str">
        <x:v>3UTR; 5UTR; LTR3; LTR5; ORF_env; ORF_gag; ORF_pol; intergenica</x:v>
      </x:c>
      <x:c r="J131" s="8" t="str"/>
    </x:row>
    <x:row r="132" ht="68" customHeight="1">
      <x:c r="A132" s="2" t="str">
        <x:v>PERV</x:v>
      </x:c>
      <x:c r="B132" s="2" t="str">
        <x:v>PERV-B-8-15.3M</x:v>
      </x:c>
      <x:c r="C132" s="2" t="str">
        <x:v>PERV-B</x:v>
      </x:c>
      <x:c r="D132" s="8" t="str">
        <x:v>Locus genômico</x:v>
      </x:c>
      <x:c r="E132" s="8" t="str">
        <x:v>PERV-B-8-15.3M</x:v>
      </x:c>
      <x:c r="F132" s="9" t="n">
        <x:v>1</x:v>
      </x:c>
      <x:c r="G132" s="9" t="n">
        <x:v>0</x:v>
      </x:c>
      <x:c r="H132" s="9" t="n">
        <x:v>9</x:v>
      </x:c>
      <x:c r="I132" s="8" t="str">
        <x:v>3UTR; 5UTR; LTR3; LTR5; ORF_env; ORF_gag; ORF_pol; intergenica</x:v>
      </x:c>
      <x:c r="J132" s="8" t="str"/>
    </x:row>
    <x:row r="133" ht="68" customHeight="1">
      <x:c r="A133" s="2" t="str">
        <x:v>PERV</x:v>
      </x:c>
      <x:c r="B133" s="2" t="str">
        <x:v>PERV-B-9-138.8M</x:v>
      </x:c>
      <x:c r="C133" s="2" t="str">
        <x:v>PERV-B</x:v>
      </x:c>
      <x:c r="D133" s="8" t="str">
        <x:v>Locus genômico</x:v>
      </x:c>
      <x:c r="E133" s="8" t="str">
        <x:v>ERV6B; PERV-B-9-138.8M</x:v>
      </x:c>
      <x:c r="F133" s="9" t="n">
        <x:v>1</x:v>
      </x:c>
      <x:c r="G133" s="9" t="n">
        <x:v>1</x:v>
      </x:c>
      <x:c r="H133" s="9" t="n">
        <x:v>13</x:v>
      </x:c>
      <x:c r="I133" s="8" t="str">
        <x:v>3UTR; 5UTR; LTR_nao_posicionada; ORF_env; ORF_gag; ORF_pol; completas_fornecidas; intergenica; remanescente_nao_anotado</x:v>
      </x:c>
      <x:c r="J133" s="8" t="str">
        <x:v>ERV6A/ERV6B vinculado ao locus já presente pelas coordenadas publicadas no artigo; não conta como novo locus. I e LTR são partes do representante.</x:v>
      </x:c>
    </x:row>
    <x:row r="134" ht="68" customHeight="1">
      <x:c r="A134" s="2" t="str">
        <x:v>PERV</x:v>
      </x:c>
      <x:c r="B134" s="2" t="str">
        <x:v>PERV-B-U086-42.1kb</x:v>
      </x:c>
      <x:c r="C134" s="2" t="str">
        <x:v>PERV-B</x:v>
      </x:c>
      <x:c r="D134" s="8" t="str">
        <x:v>Locus genômico</x:v>
      </x:c>
      <x:c r="E134" s="8" t="str">
        <x:v>PERV-B-U086-42.1kb</x:v>
      </x:c>
      <x:c r="F134" s="9" t="n">
        <x:v>1</x:v>
      </x:c>
      <x:c r="G134" s="9" t="n">
        <x:v>0</x:v>
      </x:c>
      <x:c r="H134" s="9" t="n">
        <x:v>7</x:v>
      </x:c>
      <x:c r="I134" s="8" t="str">
        <x:v>3UTR; 5UTR; ORF_env; ORF_gag; ORF_pol; intergenica</x:v>
      </x:c>
      <x:c r="J134" s="8" t="str"/>
    </x:row>
    <x:row r="135" ht="68" customHeight="1">
      <x:c r="A135" s="2" t="str">
        <x:v>PERV</x:v>
      </x:c>
      <x:c r="B135" s="2" t="str">
        <x:v>PERV-B-U255-1.9kb</x:v>
      </x:c>
      <x:c r="C135" s="2" t="str">
        <x:v>PERV-B</x:v>
      </x:c>
      <x:c r="D135" s="8" t="str">
        <x:v>Locus genômico</x:v>
      </x:c>
      <x:c r="E135" s="8" t="str">
        <x:v>PERV-B-U255-1.9kb</x:v>
      </x:c>
      <x:c r="F135" s="9" t="n">
        <x:v>1</x:v>
      </x:c>
      <x:c r="G135" s="9" t="n">
        <x:v>0</x:v>
      </x:c>
      <x:c r="H135" s="9" t="n">
        <x:v>7</x:v>
      </x:c>
      <x:c r="I135" s="8" t="str">
        <x:v>3UTR; 5UTR; ORF_env; ORF_gag; ORF_pol; intergenica</x:v>
      </x:c>
      <x:c r="J135" s="8" t="str"/>
    </x:row>
    <x:row r="136" ht="68" customHeight="1">
      <x:c r="A136" s="2" t="str">
        <x:v>PERV</x:v>
      </x:c>
      <x:c r="B136" s="2" t="str">
        <x:v>PERV-B-U331-13.8kb</x:v>
      </x:c>
      <x:c r="C136" s="2" t="str">
        <x:v>PERV-B</x:v>
      </x:c>
      <x:c r="D136" s="8" t="str">
        <x:v>Locus genômico</x:v>
      </x:c>
      <x:c r="E136" s="8" t="str">
        <x:v>PERV-B-U331-13.8kb</x:v>
      </x:c>
      <x:c r="F136" s="9" t="n">
        <x:v>1</x:v>
      </x:c>
      <x:c r="G136" s="9" t="n">
        <x:v>0</x:v>
      </x:c>
      <x:c r="H136" s="9" t="n">
        <x:v>7</x:v>
      </x:c>
      <x:c r="I136" s="8" t="str">
        <x:v>3UTR; 5UTR; LTR3; LTR5; ORF_gag; ORF_pol; intergenica</x:v>
      </x:c>
      <x:c r="J136" s="8" t="str"/>
    </x:row>
    <x:row r="137" ht="68" customHeight="1">
      <x:c r="A137" s="2" t="str">
        <x:v>PERV</x:v>
      </x:c>
      <x:c r="B137" s="2" t="str">
        <x:v>PERV-C-14-62.5M</x:v>
      </x:c>
      <x:c r="C137" s="2" t="str">
        <x:v>PERV-C</x:v>
      </x:c>
      <x:c r="D137" s="8" t="str">
        <x:v>Locus genômico</x:v>
      </x:c>
      <x:c r="E137" s="8" t="str">
        <x:v>PERV-C-14-62.5M</x:v>
      </x:c>
      <x:c r="F137" s="9" t="n">
        <x:v>1</x:v>
      </x:c>
      <x:c r="G137" s="9" t="n">
        <x:v>0</x:v>
      </x:c>
      <x:c r="H137" s="9" t="n">
        <x:v>9</x:v>
      </x:c>
      <x:c r="I137" s="8" t="str">
        <x:v>3UTR; 5UTR; LTR3; LTR5; ORF_env; ORF_gag; ORF_pol; intergenica</x:v>
      </x:c>
      <x:c r="J137" s="8" t="str"/>
    </x:row>
    <x:row r="138" ht="68" customHeight="1">
      <x:c r="A138" s="2" t="str">
        <x:v>PERV</x:v>
      </x:c>
      <x:c r="B138" s="2" t="str">
        <x:v>PERV-JX1-17-41.4M</x:v>
      </x:c>
      <x:c r="C138" s="2" t="str">
        <x:v>PERV-JX1</x:v>
      </x:c>
      <x:c r="D138" s="8" t="str">
        <x:v>Locus genômico</x:v>
      </x:c>
      <x:c r="E138" s="8" t="str">
        <x:v>PERV-JX1-17-41.4M</x:v>
      </x:c>
      <x:c r="F138" s="9" t="n">
        <x:v>1</x:v>
      </x:c>
      <x:c r="G138" s="9" t="n">
        <x:v>0</x:v>
      </x:c>
      <x:c r="H138" s="9" t="n">
        <x:v>9</x:v>
      </x:c>
      <x:c r="I138" s="8" t="str">
        <x:v>3UTR; 5UTR; LTR3; LTR5; ORF_env; ORF_gag; ORF_pol; intergenica</x:v>
      </x:c>
      <x:c r="J138" s="8" t="str"/>
    </x:row>
    <x:row r="139" ht="68" customHeight="1">
      <x:c r="A139" s="2" t="str">
        <x:v>PERV</x:v>
      </x:c>
      <x:c r="B139" s="2" t="str">
        <x:v>PERV-JX1-7-21.2M</x:v>
      </x:c>
      <x:c r="C139" s="2" t="str">
        <x:v>PERV-JX1</x:v>
      </x:c>
      <x:c r="D139" s="8" t="str">
        <x:v>Locus genômico</x:v>
      </x:c>
      <x:c r="E139" s="8" t="str">
        <x:v>PERV-JX1-7-21.2M</x:v>
      </x:c>
      <x:c r="F139" s="9" t="n">
        <x:v>1</x:v>
      </x:c>
      <x:c r="G139" s="9" t="n">
        <x:v>0</x:v>
      </x:c>
      <x:c r="H139" s="9" t="n">
        <x:v>9</x:v>
      </x:c>
      <x:c r="I139" s="8" t="str">
        <x:v>3UTR; 5UTR; LTR3; LTR5; ORF_env; ORF_gag; ORF_pol; intergenica</x:v>
      </x:c>
      <x:c r="J139" s="8" t="str"/>
    </x:row>
    <x:row r="140" ht="68" customHeight="1">
      <x:c r="A140" s="2" t="str">
        <x:v>PERV</x:v>
      </x:c>
      <x:c r="B140" s="2" t="str">
        <x:v>PERV-JX1-U293-0.8M</x:v>
      </x:c>
      <x:c r="C140" s="2" t="str">
        <x:v>PERV-JX1</x:v>
      </x:c>
      <x:c r="D140" s="8" t="str">
        <x:v>Locus genômico</x:v>
      </x:c>
      <x:c r="E140" s="8" t="str">
        <x:v>PERV-JX1-U293-0.8M</x:v>
      </x:c>
      <x:c r="F140" s="9" t="n">
        <x:v>1</x:v>
      </x:c>
      <x:c r="G140" s="9" t="n">
        <x:v>0</x:v>
      </x:c>
      <x:c r="H140" s="9" t="n">
        <x:v>6</x:v>
      </x:c>
      <x:c r="I140" s="8" t="str">
        <x:v>3UTR; 5UTR; ORF_env; ORF_gag; ORF_pol; intergenica</x:v>
      </x:c>
      <x:c r="J140" s="8" t="str"/>
    </x:row>
    <x:row r="141" ht="68" customHeight="1">
      <x:c r="A141" s="2" t="str">
        <x:v>PERV</x:v>
      </x:c>
      <x:c r="B141" s="2" t="str">
        <x:v>PERV-JX2-X-71.4M</x:v>
      </x:c>
      <x:c r="C141" s="2" t="str">
        <x:v>PERV-JX2</x:v>
      </x:c>
      <x:c r="D141" s="8" t="str">
        <x:v>Locus genômico</x:v>
      </x:c>
      <x:c r="E141" s="8" t="str">
        <x:v>PERV-JX2-X-71.4M</x:v>
      </x:c>
      <x:c r="F141" s="9" t="n">
        <x:v>1</x:v>
      </x:c>
      <x:c r="G141" s="9" t="n">
        <x:v>0</x:v>
      </x:c>
      <x:c r="H141" s="9" t="n">
        <x:v>9</x:v>
      </x:c>
      <x:c r="I141" s="8" t="str">
        <x:v>3UTR; 5UTR; LTR3; LTR5; ORF_env; ORF_gag; ORF_pol; intergenica</x:v>
      </x:c>
      <x:c r="J141" s="8" t="str"/>
    </x:row>
    <x:row r="142" ht="68" customHeight="1">
      <x:c r="A142" s="2" t="str">
        <x:v>PERV</x:v>
      </x:c>
      <x:c r="B142" s="2" t="str">
        <x:v>PERV-JX3-3-17.8M</x:v>
      </x:c>
      <x:c r="C142" s="2" t="str">
        <x:v>PERV-JX3</x:v>
      </x:c>
      <x:c r="D142" s="8" t="str">
        <x:v>Locus genômico</x:v>
      </x:c>
      <x:c r="E142" s="8" t="str">
        <x:v>PERV-JX3-3-17.8M</x:v>
      </x:c>
      <x:c r="F142" s="9" t="n">
        <x:v>1</x:v>
      </x:c>
      <x:c r="G142" s="9" t="n">
        <x:v>0</x:v>
      </x:c>
      <x:c r="H142" s="9" t="n">
        <x:v>7</x:v>
      </x:c>
      <x:c r="I142" s="8" t="str">
        <x:v>3UTR; 5UTR; ORF_env; ORF_gag; ORF_pol; intergenica</x:v>
      </x:c>
      <x:c r="J142" s="8" t="str"/>
    </x:row>
    <x:row r="143" ht="68" customHeight="1">
      <x:c r="A143" s="2" t="str">
        <x:v>PERV</x:v>
      </x:c>
      <x:c r="B143" s="2" t="str">
        <x:v>PERV-JX4-2-76.6M</x:v>
      </x:c>
      <x:c r="C143" s="2" t="str">
        <x:v>PERV-JX4</x:v>
      </x:c>
      <x:c r="D143" s="8" t="str">
        <x:v>Locus genômico</x:v>
      </x:c>
      <x:c r="E143" s="8" t="str">
        <x:v>PERV-JX4-2-76.6M</x:v>
      </x:c>
      <x:c r="F143" s="9" t="n">
        <x:v>1</x:v>
      </x:c>
      <x:c r="G143" s="9" t="n">
        <x:v>0</x:v>
      </x:c>
      <x:c r="H143" s="9" t="n">
        <x:v>7</x:v>
      </x:c>
      <x:c r="I143" s="8" t="str">
        <x:v>3UTR; 5UTR; ORF_env; ORF_gag; ORF_pol; intergenica</x:v>
      </x:c>
      <x:c r="J143" s="8" t="str"/>
    </x:row>
    <x:row r="144" ht="68" customHeight="1">
      <x:c r="A144" s="2" t="str">
        <x:v>PERV</x:v>
      </x:c>
      <x:c r="B144" s="2" t="str">
        <x:v>Y18744</x:v>
      </x:c>
      <x:c r="C144" s="2" t="str">
        <x:v>PERV</x:v>
      </x:c>
      <x:c r="D144" s="8" t="str">
        <x:v>Acesso de sequência</x:v>
      </x:c>
      <x:c r="E144" s="8" t="str">
        <x:v>Y18744</x:v>
      </x:c>
      <x:c r="F144" s="9" t="n">
        <x:v>1</x:v>
      </x:c>
      <x:c r="G144" s="9" t="n">
        <x:v>0</x:v>
      </x:c>
      <x:c r="H144" s="9" t="n">
        <x:v>1</x:v>
      </x:c>
      <x:c r="I144" s="8" t="str">
        <x:v>nao_separadas</x:v>
      </x:c>
      <x:c r="J144" s="8" t="str"/>
    </x:row>
    <x:row r="145" ht="68" customHeight="1">
      <x:c r="A145" s="2" t="str">
        <x:v>PERV</x:v>
      </x:c>
      <x:c r="B145" s="2" t="str">
        <x:v>Y18745</x:v>
      </x:c>
      <x:c r="C145" s="2" t="str">
        <x:v>PERV</x:v>
      </x:c>
      <x:c r="D145" s="8" t="str">
        <x:v>Acesso de sequência</x:v>
      </x:c>
      <x:c r="E145" s="8" t="str">
        <x:v>Y18745</x:v>
      </x:c>
      <x:c r="F145" s="9" t="n">
        <x:v>1</x:v>
      </x:c>
      <x:c r="G145" s="9" t="n">
        <x:v>0</x:v>
      </x:c>
      <x:c r="H145" s="9" t="n">
        <x:v>1</x:v>
      </x:c>
      <x:c r="I145" s="8" t="str">
        <x:v>nao_separadas</x:v>
      </x:c>
      <x:c r="J145" s="8" t="str"/>
    </x:row>
    <x:row r="146" ht="68" customHeight="1">
      <x:c r="A146" s="2" t="str">
        <x:v>PERV</x:v>
      </x:c>
      <x:c r="B146" s="2" t="str">
        <x:v>Y18746</x:v>
      </x:c>
      <x:c r="C146" s="2" t="str">
        <x:v>PERV</x:v>
      </x:c>
      <x:c r="D146" s="8" t="str">
        <x:v>Acesso de sequência</x:v>
      </x:c>
      <x:c r="E146" s="8" t="str">
        <x:v>Y18746</x:v>
      </x:c>
      <x:c r="F146" s="9" t="n">
        <x:v>1</x:v>
      </x:c>
      <x:c r="G146" s="9" t="n">
        <x:v>0</x:v>
      </x:c>
      <x:c r="H146" s="9" t="n">
        <x:v>1</x:v>
      </x:c>
      <x:c r="I146" s="8" t="str">
        <x:v>nao_separadas</x:v>
      </x:c>
      <x:c r="J146" s="8" t="str"/>
    </x:row>
    <x:row r="147" ht="68" customHeight="1">
      <x:c r="A147" s="2" t="str">
        <x:v>PERV</x:v>
      </x:c>
      <x:c r="B147" s="2" t="str">
        <x:v>Y18747</x:v>
      </x:c>
      <x:c r="C147" s="2" t="str">
        <x:v>PERV</x:v>
      </x:c>
      <x:c r="D147" s="8" t="str">
        <x:v>Acesso de sequência</x:v>
      </x:c>
      <x:c r="E147" s="8" t="str">
        <x:v>Y18747</x:v>
      </x:c>
      <x:c r="F147" s="9" t="n">
        <x:v>1</x:v>
      </x:c>
      <x:c r="G147" s="9" t="n">
        <x:v>0</x:v>
      </x:c>
      <x:c r="H147" s="9" t="n">
        <x:v>1</x:v>
      </x:c>
      <x:c r="I147" s="8" t="str">
        <x:v>nao_separadas</x:v>
      </x:c>
      <x:c r="J147" s="8" t="str"/>
    </x:row>
    <x:row r="148" ht="68" customHeight="1">
      <x:c r="A148" s="2" t="str">
        <x:v>PERV</x:v>
      </x:c>
      <x:c r="B148" s="2" t="str">
        <x:v>Y18748</x:v>
      </x:c>
      <x:c r="C148" s="2" t="str">
        <x:v>PERV</x:v>
      </x:c>
      <x:c r="D148" s="8" t="str">
        <x:v>Acesso de sequência</x:v>
      </x:c>
      <x:c r="E148" s="8" t="str">
        <x:v>Y18748</x:v>
      </x:c>
      <x:c r="F148" s="9" t="n">
        <x:v>1</x:v>
      </x:c>
      <x:c r="G148" s="9" t="n">
        <x:v>0</x:v>
      </x:c>
      <x:c r="H148" s="9" t="n">
        <x:v>1</x:v>
      </x:c>
      <x:c r="I148" s="8" t="str">
        <x:v>nao_separadas</x:v>
      </x:c>
      <x:c r="J148" s="8" t="str"/>
    </x:row>
    <x:row r="149" ht="68" customHeight="1">
      <x:c r="A149" s="2" t="str">
        <x:v>PERV</x:v>
      </x:c>
      <x:c r="B149" s="2" t="str">
        <x:v>Y18749</x:v>
      </x:c>
      <x:c r="C149" s="2" t="str">
        <x:v>PERV</x:v>
      </x:c>
      <x:c r="D149" s="8" t="str">
        <x:v>Acesso de sequência</x:v>
      </x:c>
      <x:c r="E149" s="8" t="str">
        <x:v>Y18749</x:v>
      </x:c>
      <x:c r="F149" s="9" t="n">
        <x:v>1</x:v>
      </x:c>
      <x:c r="G149" s="9" t="n">
        <x:v>0</x:v>
      </x:c>
      <x:c r="H149" s="9" t="n">
        <x:v>1</x:v>
      </x:c>
      <x:c r="I149" s="8" t="str">
        <x:v>nao_separadas</x:v>
      </x:c>
      <x:c r="J149" s="8" t="str"/>
    </x:row>
    <x:row r="150" ht="68" customHeight="1">
      <x:c r="A150" s="2" t="str">
        <x:v>PERV</x:v>
      </x:c>
      <x:c r="B150" s="2" t="str">
        <x:v>sPERV-A-6-10.4M</x:v>
      </x:c>
      <x:c r="C150" s="2" t="str">
        <x:v>PERV-A</x:v>
      </x:c>
      <x:c r="D150" s="8" t="str">
        <x:v>Locus genômico</x:v>
      </x:c>
      <x:c r="E150" s="8" t="str">
        <x:v>sPERV-A-6-10.4M</x:v>
      </x:c>
      <x:c r="F150" s="9" t="n">
        <x:v>1</x:v>
      </x:c>
      <x:c r="G150" s="9" t="n">
        <x:v>0</x:v>
      </x:c>
      <x:c r="H150" s="9" t="n">
        <x:v>5</x:v>
      </x:c>
      <x:c r="I150" s="8" t="str">
        <x:v>3UTR; 5UTR; ORF_gag; ORF_pol; intergenica</x:v>
      </x:c>
      <x:c r="J150" s="8" t="str"/>
    </x:row>
    <x:row r="151" ht="68" customHeight="1">
      <x:c r="A151" s="2" t="str">
        <x:v>PERV</x:v>
      </x:c>
      <x:c r="B151" s="2" t="str">
        <x:v>sPERV-A-X-55.1M</x:v>
      </x:c>
      <x:c r="C151" s="2" t="str">
        <x:v>PERV-A</x:v>
      </x:c>
      <x:c r="D151" s="8" t="str">
        <x:v>Locus genômico</x:v>
      </x:c>
      <x:c r="E151" s="8" t="str">
        <x:v>sPERV-A-X-55.1M</x:v>
      </x:c>
      <x:c r="F151" s="9" t="n">
        <x:v>1</x:v>
      </x:c>
      <x:c r="G151" s="9" t="n">
        <x:v>0</x:v>
      </x:c>
      <x:c r="H151" s="9" t="n">
        <x:v>4</x:v>
      </x:c>
      <x:c r="I151" s="8" t="str">
        <x:v>5UTR; ORF_gag; ORF_pol; intergenica</x:v>
      </x:c>
      <x:c r="J151" s="8" t="str"/>
    </x:row>
    <x:row r="152" ht="68" customHeight="1">
      <x:c r="A152" s="2" t="str">
        <x:v>PERV</x:v>
      </x:c>
      <x:c r="B152" s="2" t="str">
        <x:v>sPERV-Alike-U293-0.9M</x:v>
      </x:c>
      <x:c r="C152" s="2" t="str">
        <x:v>PERV-Alike</x:v>
      </x:c>
      <x:c r="D152" s="8" t="str">
        <x:v>Locus genômico</x:v>
      </x:c>
      <x:c r="E152" s="8" t="str">
        <x:v>sPERV-Alike-U293-0.9M</x:v>
      </x:c>
      <x:c r="F152" s="9" t="n">
        <x:v>1</x:v>
      </x:c>
      <x:c r="G152" s="9" t="n">
        <x:v>0</x:v>
      </x:c>
      <x:c r="H152" s="9" t="n">
        <x:v>3</x:v>
      </x:c>
      <x:c r="I152" s="8" t="str">
        <x:v>3UTR; 5UTR; ORF_ORF</x:v>
      </x:c>
      <x:c r="J152" s="8" t="str"/>
    </x:row>
    <x:row r="153" ht="68" customHeight="1">
      <x:c r="A153" s="2" t="str">
        <x:v>PERV</x:v>
      </x:c>
      <x:c r="B153" s="2" t="str">
        <x:v>sPERV-B-1-38.5M</x:v>
      </x:c>
      <x:c r="C153" s="2" t="str">
        <x:v>PERV-B</x:v>
      </x:c>
      <x:c r="D153" s="8" t="str">
        <x:v>Locus genômico</x:v>
      </x:c>
      <x:c r="E153" s="8" t="str">
        <x:v>sPERV-B-1-38.5M</x:v>
      </x:c>
      <x:c r="F153" s="9" t="n">
        <x:v>1</x:v>
      </x:c>
      <x:c r="G153" s="9" t="n">
        <x:v>0</x:v>
      </x:c>
      <x:c r="H153" s="9" t="n">
        <x:v>5</x:v>
      </x:c>
      <x:c r="I153" s="8" t="str">
        <x:v>3UTR; 5UTR; ORF_gag; ORF_pol; intergenica</x:v>
      </x:c>
      <x:c r="J153" s="8" t="str"/>
    </x:row>
    <x:row r="154" ht="68" customHeight="1">
      <x:c r="A154" s="2" t="str">
        <x:v>PERV</x:v>
      </x:c>
      <x:c r="B154" s="2" t="str">
        <x:v>sPERV-B-X-112.8M</x:v>
      </x:c>
      <x:c r="C154" s="2" t="str">
        <x:v>PERV-B</x:v>
      </x:c>
      <x:c r="D154" s="8" t="str">
        <x:v>Locus genômico</x:v>
      </x:c>
      <x:c r="E154" s="8" t="str">
        <x:v>sPERV-B-X-112.8M</x:v>
      </x:c>
      <x:c r="F154" s="9" t="n">
        <x:v>1</x:v>
      </x:c>
      <x:c r="G154" s="9" t="n">
        <x:v>0</x:v>
      </x:c>
      <x:c r="H154" s="9" t="n">
        <x:v>5</x:v>
      </x:c>
      <x:c r="I154" s="8" t="str">
        <x:v>3UTR; 5UTR; ORF_gag; ORF_pol; intergenica</x:v>
      </x:c>
      <x:c r="J154" s="8" t="str"/>
    </x:row>
    <x:row r="155" ht="68" customHeight="1">
      <x:c r="A155" s="2" t="str">
        <x:v>PERV</x:v>
      </x:c>
      <x:c r="B155" s="2" t="str">
        <x:v>sPERV-C-11-29.1M</x:v>
      </x:c>
      <x:c r="C155" s="2" t="str">
        <x:v>PERV-C</x:v>
      </x:c>
      <x:c r="D155" s="8" t="str">
        <x:v>Locus genômico</x:v>
      </x:c>
      <x:c r="E155" s="8" t="str">
        <x:v>sPERV-C-11-29.1M</x:v>
      </x:c>
      <x:c r="F155" s="9" t="n">
        <x:v>1</x:v>
      </x:c>
      <x:c r="G155" s="9" t="n">
        <x:v>0</x:v>
      </x:c>
      <x:c r="H155" s="9" t="n">
        <x:v>7</x:v>
      </x:c>
      <x:c r="I155" s="8" t="str">
        <x:v>3UTR; 5UTR; ORF_env; ORF_gag; ORF_pol; intergenica</x:v>
      </x:c>
      <x:c r="J155" s="8" t="str"/>
    </x:row>
    <x:row r="156" ht="68" customHeight="1">
      <x:c r="A156" s="2" t="str">
        <x:v>PERV</x:v>
      </x:c>
      <x:c r="B156" s="2" t="str">
        <x:v>sPERV-C-13-146.75M</x:v>
      </x:c>
      <x:c r="C156" s="2" t="str">
        <x:v>PERV-C</x:v>
      </x:c>
      <x:c r="D156" s="8" t="str">
        <x:v>Locus genômico</x:v>
      </x:c>
      <x:c r="E156" s="8" t="str">
        <x:v>sPERV-C-13-146.75M</x:v>
      </x:c>
      <x:c r="F156" s="9" t="n">
        <x:v>1</x:v>
      </x:c>
      <x:c r="G156" s="9" t="n">
        <x:v>0</x:v>
      </x:c>
      <x:c r="H156" s="9" t="n">
        <x:v>8</x:v>
      </x:c>
      <x:c r="I156" s="8" t="str">
        <x:v>3UTR; 5UTR; LTR3; LTR5; ORF_env; ORF_gag; ORF_pol; intergenica</x:v>
      </x:c>
      <x:c r="J156" s="8" t="str"/>
    </x:row>
    <x:row r="157" ht="68" customHeight="1">
      <x:c r="A157" s="2" t="str">
        <x:v>PERV</x:v>
      </x:c>
      <x:c r="B157" s="2" t="str">
        <x:v>sPERV-C-13-146.76M</x:v>
      </x:c>
      <x:c r="C157" s="2" t="str">
        <x:v>PERV-C</x:v>
      </x:c>
      <x:c r="D157" s="8" t="str">
        <x:v>Locus genômico</x:v>
      </x:c>
      <x:c r="E157" s="8" t="str">
        <x:v>sPERV-C-13-146.76M</x:v>
      </x:c>
      <x:c r="F157" s="9" t="n">
        <x:v>1</x:v>
      </x:c>
      <x:c r="G157" s="9" t="n">
        <x:v>0</x:v>
      </x:c>
      <x:c r="H157" s="9" t="n">
        <x:v>6</x:v>
      </x:c>
      <x:c r="I157" s="8" t="str">
        <x:v>3UTR; 5UTR; LTR3; LTR5; ORF_gag; ORF_pol</x:v>
      </x:c>
      <x:c r="J157" s="8" t="str"/>
    </x:row>
    <x:row r="158" ht="68" customHeight="1">
      <x:c r="A158" s="2" t="str">
        <x:v>PERV</x:v>
      </x:c>
      <x:c r="B158" s="2" t="str">
        <x:v>sPERV-C-5-29.4M</x:v>
      </x:c>
      <x:c r="C158" s="2" t="str">
        <x:v>PERV-C</x:v>
      </x:c>
      <x:c r="D158" s="8" t="str">
        <x:v>Locus genômico</x:v>
      </x:c>
      <x:c r="E158" s="8" t="str">
        <x:v>sPERV-C-5-29.4M</x:v>
      </x:c>
      <x:c r="F158" s="9" t="n">
        <x:v>1</x:v>
      </x:c>
      <x:c r="G158" s="9" t="n">
        <x:v>0</x:v>
      </x:c>
      <x:c r="H158" s="9" t="n">
        <x:v>7</x:v>
      </x:c>
      <x:c r="I158" s="8" t="str">
        <x:v>3UTR; 5UTR; ORF_env; ORF_gag; ORF_pol; intergenica</x:v>
      </x:c>
      <x:c r="J158" s="8" t="str"/>
    </x:row>
    <x:row r="159" ht="68" customHeight="1">
      <x:c r="A159" s="2" t="str">
        <x:v>PERV</x:v>
      </x:c>
      <x:c r="B159" s="2" t="str">
        <x:v>sPERV-C-X-81.5M</x:v>
      </x:c>
      <x:c r="C159" s="2" t="str">
        <x:v>PERV-C</x:v>
      </x:c>
      <x:c r="D159" s="8" t="str">
        <x:v>Locus genômico</x:v>
      </x:c>
      <x:c r="E159" s="8" t="str">
        <x:v>sPERV-C-X-81.5M</x:v>
      </x:c>
      <x:c r="F159" s="9" t="n">
        <x:v>1</x:v>
      </x:c>
      <x:c r="G159" s="9" t="n">
        <x:v>0</x:v>
      </x:c>
      <x:c r="H159" s="9" t="n">
        <x:v>3</x:v>
      </x:c>
      <x:c r="I159" s="8" t="str">
        <x:v>3UTR; 5UTR; ORF_ORF</x:v>
      </x:c>
      <x:c r="J159" s="8" t="str"/>
    </x:row>
    <x:row r="160" ht="68" customHeight="1">
      <x:c r="A160" s="2" t="str">
        <x:v>PERV</x:v>
      </x:c>
      <x:c r="B160" s="2" t="str">
        <x:v>sPERV-Clike-U154-3.2kb</x:v>
      </x:c>
      <x:c r="C160" s="2" t="str">
        <x:v>PERV-Clike</x:v>
      </x:c>
      <x:c r="D160" s="8" t="str">
        <x:v>Locus genômico</x:v>
      </x:c>
      <x:c r="E160" s="8" t="str">
        <x:v>sPERV-Clike-U154-3.2kb</x:v>
      </x:c>
      <x:c r="F160" s="9" t="n">
        <x:v>1</x:v>
      </x:c>
      <x:c r="G160" s="9" t="n">
        <x:v>0</x:v>
      </x:c>
      <x:c r="H160" s="9" t="n">
        <x:v>3</x:v>
      </x:c>
      <x:c r="I160" s="8" t="str">
        <x:v>3UTR; 5UTR; ORF_ORF</x:v>
      </x:c>
      <x:c r="J160" s="8" t="str"/>
    </x:row>
    <x:row r="161" ht="68" customHeight="1">
      <x:c r="A161" s="2" t="str">
        <x:v>PERV</x:v>
      </x:c>
      <x:c r="B161" s="2" t="str">
        <x:v>sPERV-Clike-U193-4.0kb</x:v>
      </x:c>
      <x:c r="C161" s="2" t="str">
        <x:v>PERV-Clike</x:v>
      </x:c>
      <x:c r="D161" s="8" t="str">
        <x:v>Locus genômico</x:v>
      </x:c>
      <x:c r="E161" s="8" t="str">
        <x:v>sPERV-Clike-U193-4.0kb</x:v>
      </x:c>
      <x:c r="F161" s="9" t="n">
        <x:v>1</x:v>
      </x:c>
      <x:c r="G161" s="9" t="n">
        <x:v>0</x:v>
      </x:c>
      <x:c r="H161" s="9" t="n">
        <x:v>3</x:v>
      </x:c>
      <x:c r="I161" s="8" t="str">
        <x:v>3UTR; 5UTR; ORF_ORF</x:v>
      </x:c>
      <x:c r="J161" s="8" t="str"/>
    </x:row>
    <x:row r="162" ht="68" customHeight="1">
      <x:c r="A162" s="2" t="str">
        <x:v>PERV</x:v>
      </x:c>
      <x:c r="B162" s="2" t="str">
        <x:v>sPERV-Clike-U355-19.3kb</x:v>
      </x:c>
      <x:c r="C162" s="2" t="str">
        <x:v>PERV-Clike</x:v>
      </x:c>
      <x:c r="D162" s="8" t="str">
        <x:v>Locus genômico</x:v>
      </x:c>
      <x:c r="E162" s="8" t="str">
        <x:v>sPERV-Clike-U355-19.3kb</x:v>
      </x:c>
      <x:c r="F162" s="9" t="n">
        <x:v>1</x:v>
      </x:c>
      <x:c r="G162" s="9" t="n">
        <x:v>0</x:v>
      </x:c>
      <x:c r="H162" s="9" t="n">
        <x:v>1</x:v>
      </x:c>
      <x:c r="I162" s="8" t="str">
        <x:v>nao_separadas</x:v>
      </x:c>
      <x:c r="J162" s="8" t="str"/>
    </x:row>
    <x:row r="163" ht="68" customHeight="1">
      <x:c r="A163" s="2" t="str">
        <x:v>PERV</x:v>
      </x:c>
      <x:c r="B163" s="2" t="str">
        <x:v>sPERV-Clike-Y-25.269M</x:v>
      </x:c>
      <x:c r="C163" s="2" t="str">
        <x:v>PERV-Clike</x:v>
      </x:c>
      <x:c r="D163" s="8" t="str">
        <x:v>Locus genômico</x:v>
      </x:c>
      <x:c r="E163" s="8" t="str">
        <x:v>sPERV-Clike-Y-25.269M</x:v>
      </x:c>
      <x:c r="F163" s="9" t="n">
        <x:v>1</x:v>
      </x:c>
      <x:c r="G163" s="9" t="n">
        <x:v>0</x:v>
      </x:c>
      <x:c r="H163" s="9" t="n">
        <x:v>3</x:v>
      </x:c>
      <x:c r="I163" s="8" t="str">
        <x:v>3UTR; 5UTR; ORF_ORF</x:v>
      </x:c>
      <x:c r="J163" s="8" t="str"/>
    </x:row>
    <x:row r="164" ht="68" customHeight="1">
      <x:c r="A164" s="2" t="str">
        <x:v>PERV</x:v>
      </x:c>
      <x:c r="B164" s="2" t="str">
        <x:v>sPERV-Clike-Y-25.29M</x:v>
      </x:c>
      <x:c r="C164" s="2" t="str">
        <x:v>PERV-Clike</x:v>
      </x:c>
      <x:c r="D164" s="8" t="str">
        <x:v>Locus genômico</x:v>
      </x:c>
      <x:c r="E164" s="8" t="str">
        <x:v>sPERV-Clike-Y-25.29M</x:v>
      </x:c>
      <x:c r="F164" s="9" t="n">
        <x:v>1</x:v>
      </x:c>
      <x:c r="G164" s="9" t="n">
        <x:v>0</x:v>
      </x:c>
      <x:c r="H164" s="9" t="n">
        <x:v>3</x:v>
      </x:c>
      <x:c r="I164" s="8" t="str">
        <x:v>3UTR; 5UTR; ORF_ORF</x:v>
      </x:c>
      <x:c r="J164" s="8" t="str"/>
    </x:row>
    <x:row r="165" ht="68" customHeight="1">
      <x:c r="A165" s="2" t="str">
        <x:v>PERV</x:v>
      </x:c>
      <x:c r="B165" s="2" t="str">
        <x:v>sPERV-JX2like-12-23.0M</x:v>
      </x:c>
      <x:c r="C165" s="2" t="str">
        <x:v>PERV-JX2like</x:v>
      </x:c>
      <x:c r="D165" s="8" t="str">
        <x:v>Locus genômico</x:v>
      </x:c>
      <x:c r="E165" s="8" t="str">
        <x:v>sPERV-JX2like-12-23.0M</x:v>
      </x:c>
      <x:c r="F165" s="9" t="n">
        <x:v>1</x:v>
      </x:c>
      <x:c r="G165" s="9" t="n">
        <x:v>0</x:v>
      </x:c>
      <x:c r="H165" s="9" t="n">
        <x:v>5</x:v>
      </x:c>
      <x:c r="I165" s="8" t="str">
        <x:v>3UTR; 5UTR; ORF_gag; ORF_pol; intergenica</x:v>
      </x:c>
      <x:c r="J165" s="8" t="str"/>
    </x:row>
    <x:row r="166" ht="68" customHeight="1">
      <x:c r="A166" s="2" t="str">
        <x:v>PERV</x:v>
      </x:c>
      <x:c r="B166" s="2" t="str">
        <x:v>sPERV-JX3like-15-116.3M</x:v>
      </x:c>
      <x:c r="C166" s="2" t="str">
        <x:v>PERV-JX3like</x:v>
      </x:c>
      <x:c r="D166" s="8" t="str">
        <x:v>Locus genômico</x:v>
      </x:c>
      <x:c r="E166" s="8" t="str">
        <x:v>sPERV-JX3like-15-116.3M</x:v>
      </x:c>
      <x:c r="F166" s="9" t="n">
        <x:v>1</x:v>
      </x:c>
      <x:c r="G166" s="9" t="n">
        <x:v>0</x:v>
      </x:c>
      <x:c r="H166" s="9" t="n">
        <x:v>7</x:v>
      </x:c>
      <x:c r="I166" s="8" t="str">
        <x:v>3UTR; 5UTR; ORF_env; ORF_gag; ORF_pol; intergenica</x:v>
      </x:c>
      <x:c r="J166" s="8" t="str"/>
    </x:row>
    <x:row r="167" ht="68" customHeight="1">
      <x:c r="A167" s="2" t="str">
        <x:v>PERV</x:v>
      </x:c>
      <x:c r="B167" s="2" t="str">
        <x:v>sPERV-JX3like-17-9.5M</x:v>
      </x:c>
      <x:c r="C167" s="2" t="str">
        <x:v>PERV-JX3like</x:v>
      </x:c>
      <x:c r="D167" s="8" t="str">
        <x:v>Locus genômico</x:v>
      </x:c>
      <x:c r="E167" s="8" t="str">
        <x:v>sPERV-JX3like-17-9.5M</x:v>
      </x:c>
      <x:c r="F167" s="9" t="n">
        <x:v>1</x:v>
      </x:c>
      <x:c r="G167" s="9" t="n">
        <x:v>0</x:v>
      </x:c>
      <x:c r="H167" s="9" t="n">
        <x:v>8</x:v>
      </x:c>
      <x:c r="I167" s="8" t="str">
        <x:v>3UTR; LTR3; LTR5; ORF_env; ORF_gag; ORF_pol; intergenica</x:v>
      </x:c>
      <x:c r="J167" s="8" t="str"/>
    </x:row>
    <x:row r="168" ht="68" customHeight="1">
      <x:c r="A168" s="2" t="str">
        <x:v>PERV</x:v>
      </x:c>
      <x:c r="B168" s="2" t="str">
        <x:v>sPERV-JX3like-X-72.2M</x:v>
      </x:c>
      <x:c r="C168" s="2" t="str">
        <x:v>PERV-JX3like</x:v>
      </x:c>
      <x:c r="D168" s="8" t="str">
        <x:v>Locus genômico</x:v>
      </x:c>
      <x:c r="E168" s="8" t="str">
        <x:v>sPERV-JX3like-X-72.2M</x:v>
      </x:c>
      <x:c r="F168" s="9" t="n">
        <x:v>1</x:v>
      </x:c>
      <x:c r="G168" s="9" t="n">
        <x:v>0</x:v>
      </x:c>
      <x:c r="H168" s="9" t="n">
        <x:v>3</x:v>
      </x:c>
      <x:c r="I168" s="8" t="str">
        <x:v>3UTR; 5UTR; ORF_ORF</x:v>
      </x:c>
      <x:c r="J168" s="8" t="str"/>
    </x:row>
    <x:row r="169" ht="68" customHeight="1">
      <x:c r="A169" s="2" t="str">
        <x:v>PERV</x:v>
      </x:c>
      <x:c r="B169" s="2" t="str">
        <x:v>sPERV-UC1-9-63.2M</x:v>
      </x:c>
      <x:c r="C169" s="2" t="str">
        <x:v>PERV-UC</x:v>
      </x:c>
      <x:c r="D169" s="8" t="str">
        <x:v>Locus genômico</x:v>
      </x:c>
      <x:c r="E169" s="8" t="str">
        <x:v>sPERV-UC1-9-63.2M</x:v>
      </x:c>
      <x:c r="F169" s="9" t="n">
        <x:v>1</x:v>
      </x:c>
      <x:c r="G169" s="9" t="n">
        <x:v>0</x:v>
      </x:c>
      <x:c r="H169" s="9" t="n">
        <x:v>3</x:v>
      </x:c>
      <x:c r="I169" s="8" t="str">
        <x:v>3UTR; 5UTR; ORF_ORF</x:v>
      </x:c>
      <x:c r="J169" s="8" t="str"/>
    </x:row>
    <x:row r="170" ht="68" customHeight="1">
      <x:c r="A170" s="2" t="str">
        <x:v>PERV</x:v>
      </x:c>
      <x:c r="B170" s="2" t="str">
        <x:v>sPERV-UC2-13-21.3M</x:v>
      </x:c>
      <x:c r="C170" s="2" t="str">
        <x:v>PERV-UC</x:v>
      </x:c>
      <x:c r="D170" s="8" t="str">
        <x:v>Locus genômico</x:v>
      </x:c>
      <x:c r="E170" s="8" t="str">
        <x:v>sPERV-UC2-13-21.3M</x:v>
      </x:c>
      <x:c r="F170" s="9" t="n">
        <x:v>1</x:v>
      </x:c>
      <x:c r="G170" s="9" t="n">
        <x:v>0</x:v>
      </x:c>
      <x:c r="H170" s="9" t="n">
        <x:v>3</x:v>
      </x:c>
      <x:c r="I170" s="8" t="str">
        <x:v>3UTR; 5UTR; ORF_ORF</x:v>
      </x:c>
      <x:c r="J170" s="8" t="str"/>
    </x:row>
    <x:row r="171" ht="68" customHeight="1">
      <x:c r="A171" s="2" t="str">
        <x:v>PERV</x:v>
      </x:c>
      <x:c r="B171" s="2" t="str">
        <x:v>sPERV-UC3-Y-24.4M</x:v>
      </x:c>
      <x:c r="C171" s="2" t="str">
        <x:v>PERV-UC</x:v>
      </x:c>
      <x:c r="D171" s="8" t="str">
        <x:v>Locus genômico</x:v>
      </x:c>
      <x:c r="E171" s="8" t="str">
        <x:v>sPERV-UC3-Y-24.4M</x:v>
      </x:c>
      <x:c r="F171" s="9" t="n">
        <x:v>1</x:v>
      </x:c>
      <x:c r="G171" s="9" t="n">
        <x:v>0</x:v>
      </x:c>
      <x:c r="H171" s="9" t="n">
        <x:v>1</x:v>
      </x:c>
      <x:c r="I171" s="8" t="str">
        <x:v>nao_separadas</x:v>
      </x:c>
      <x:c r="J171" s="8" t="str"/>
    </x:row>
    <x:row r="172" ht="68" customHeight="1">
      <x:c r="A172" s="2" t="str">
        <x:v>PERV</x:v>
      </x:c>
      <x:c r="B172" s="2" t="str">
        <x:v>sPERV-UC4-Y-25.261M</x:v>
      </x:c>
      <x:c r="C172" s="2" t="str">
        <x:v>PERV-UC</x:v>
      </x:c>
      <x:c r="D172" s="8" t="str">
        <x:v>Locus genômico</x:v>
      </x:c>
      <x:c r="E172" s="8" t="str">
        <x:v>sPERV-UC4-Y-25.261M</x:v>
      </x:c>
      <x:c r="F172" s="9" t="n">
        <x:v>1</x:v>
      </x:c>
      <x:c r="G172" s="9" t="n">
        <x:v>0</x:v>
      </x:c>
      <x:c r="H172" s="9" t="n">
        <x:v>3</x:v>
      </x:c>
      <x:c r="I172" s="8" t="str">
        <x:v>3UTR; 5UTR; ORF_ORF</x:v>
      </x:c>
      <x:c r="J172" s="8" t="str"/>
    </x:row>
    <x:row r="173" ht="68" customHeight="1">
      <x:c r="A173" s="2" t="str">
        <x:v>Referencia_RNA</x:v>
      </x:c>
      <x:c r="B173" s="2" t="str">
        <x:v>7SLRNA</x:v>
      </x:c>
      <x:c r="C173" s="2" t="str">
        <x:v>7SLRNA</x:v>
      </x:c>
      <x:c r="D173" s="8" t="str">
        <x:v>RNA de referência</x:v>
      </x:c>
      <x:c r="E173" s="8" t="str">
        <x:v>7SLRNA</x:v>
      </x:c>
      <x:c r="F173" s="9" t="n">
        <x:v>0</x:v>
      </x:c>
      <x:c r="G173" s="9" t="n">
        <x:v>1</x:v>
      </x:c>
      <x:c r="H173" s="9" t="n">
        <x:v>1</x:v>
      </x:c>
      <x:c r="I173" s="8" t="str">
        <x:v>completas_fornecidas</x:v>
      </x:c>
      <x:c r="J173" s="8" t="str"/>
    </x:row>
    <x:row r="174" ht="68" customHeight="1">
      <x:c r="A174" s="2" t="str">
        <x:v>SINE</x:v>
      </x:c>
      <x:c r="B174" s="2" t="str">
        <x:v>PRE-1</x:v>
      </x:c>
      <x:c r="C174" s="2" t="str">
        <x:v>PRE-1</x:v>
      </x:c>
      <x:c r="D174" s="8" t="str">
        <x:v>Consenso/representante</x:v>
      </x:c>
      <x:c r="E174" s="8" t="str">
        <x:v>PRE-1</x:v>
      </x:c>
      <x:c r="F174" s="9" t="n">
        <x:v>1</x:v>
      </x:c>
      <x:c r="G174" s="9" t="n">
        <x:v>0</x:v>
      </x:c>
      <x:c r="H174" s="9" t="n">
        <x:v>3</x:v>
      </x:c>
      <x:c r="I174" s="8" t="str">
        <x:v>body; head; tail</x:v>
      </x:c>
      <x:c r="J174" s="8" t="str"/>
    </x:row>
    <x:row r="175" ht="68" customHeight="1">
      <x:c r="A175" s="2" t="str">
        <x:v>SINE</x:v>
      </x:c>
      <x:c r="B175" s="2" t="str">
        <x:v>SEQ-006</x:v>
      </x:c>
      <x:c r="C175" s="2" t="str">
        <x:v>Pre0_SS</x:v>
      </x:c>
      <x:c r="D175" s="8" t="str">
        <x:v>Locus genômico</x:v>
      </x:c>
      <x:c r="E175" s="8" t="str">
        <x:v>SEQ-006</x:v>
      </x:c>
      <x:c r="F175" s="9" t="n">
        <x:v>1</x:v>
      </x:c>
      <x:c r="G175" s="9" t="n">
        <x:v>0</x:v>
      </x:c>
      <x:c r="H175" s="9" t="n">
        <x:v>1</x:v>
      </x:c>
      <x:c r="I175" s="8" t="str">
        <x:v>nao_separadas</x:v>
      </x:c>
      <x:c r="J175" s="8" t="str"/>
    </x:row>
    <x:row r="176" ht="68" customHeight="1">
      <x:c r="A176" s="2" t="str">
        <x:v>SINE</x:v>
      </x:c>
      <x:c r="B176" s="2" t="str">
        <x:v>SEQ-007</x:v>
      </x:c>
      <x:c r="C176" s="2" t="str">
        <x:v>Pre0_SS</x:v>
      </x:c>
      <x:c r="D176" s="8" t="str">
        <x:v>Locus genômico</x:v>
      </x:c>
      <x:c r="E176" s="8" t="str">
        <x:v>SEQ-007</x:v>
      </x:c>
      <x:c r="F176" s="9" t="n">
        <x:v>1</x:v>
      </x:c>
      <x:c r="G176" s="9" t="n">
        <x:v>0</x:v>
      </x:c>
      <x:c r="H176" s="9" t="n">
        <x:v>3</x:v>
      </x:c>
      <x:c r="I176" s="8" t="str">
        <x:v>body; head; tail</x:v>
      </x:c>
      <x:c r="J176" s="8" t="str"/>
    </x:row>
    <x:row r="177" ht="68" customHeight="1">
      <x:c r="A177" s="2" t="str">
        <x:v>SINE</x:v>
      </x:c>
      <x:c r="B177" s="2" t="str">
        <x:v>SEQ-021</x:v>
      </x:c>
      <x:c r="C177" s="2" t="str">
        <x:v>Pre0_SS</x:v>
      </x:c>
      <x:c r="D177" s="8" t="str">
        <x:v>Locus genômico</x:v>
      </x:c>
      <x:c r="E177" s="8" t="str">
        <x:v>SEQ-021</x:v>
      </x:c>
      <x:c r="F177" s="9" t="n">
        <x:v>1</x:v>
      </x:c>
      <x:c r="G177" s="9" t="n">
        <x:v>0</x:v>
      </x:c>
      <x:c r="H177" s="9" t="n">
        <x:v>3</x:v>
      </x:c>
      <x:c r="I177" s="8" t="str">
        <x:v>body; head; tail</x:v>
      </x:c>
      <x:c r="J177" s="8" t="str"/>
    </x:row>
    <x:row r="178" ht="68" customHeight="1">
      <x:c r="A178" s="2" t="str">
        <x:v>SINE</x:v>
      </x:c>
      <x:c r="B178" s="2" t="str">
        <x:v>SEQ-022</x:v>
      </x:c>
      <x:c r="C178" s="2" t="str">
        <x:v>YoungSINE consenso</x:v>
      </x:c>
      <x:c r="D178" s="8" t="str">
        <x:v>Consenso/representante</x:v>
      </x:c>
      <x:c r="E178" s="8" t="str">
        <x:v>Consensus</x:v>
      </x:c>
      <x:c r="F178" s="9" t="n">
        <x:v>1</x:v>
      </x:c>
      <x:c r="G178" s="9" t="n">
        <x:v>0</x:v>
      </x:c>
      <x:c r="H178" s="9" t="n">
        <x:v>3</x:v>
      </x:c>
      <x:c r="I178" s="8" t="str">
        <x:v>body; head; tail</x:v>
      </x:c>
      <x:c r="J178" s="8" t="str"/>
    </x:row>
    <x:row r="179" ht="68" customHeight="1">
      <x:c r="A179" s="2" t="str">
        <x:v>SINE</x:v>
      </x:c>
      <x:c r="B179" s="2" t="str">
        <x:v>SEQ-023</x:v>
      </x:c>
      <x:c r="C179" s="2" t="str">
        <x:v>YoungSINE L</x:v>
      </x:c>
      <x:c r="D179" s="8" t="str">
        <x:v>Consenso/representante</x:v>
      </x:c>
      <x:c r="E179" s="8" t="str">
        <x:v>L01</x:v>
      </x:c>
      <x:c r="F179" s="9" t="n">
        <x:v>1</x:v>
      </x:c>
      <x:c r="G179" s="9" t="n">
        <x:v>0</x:v>
      </x:c>
      <x:c r="H179" s="9" t="n">
        <x:v>3</x:v>
      </x:c>
      <x:c r="I179" s="8" t="str">
        <x:v>body; head; tail</x:v>
      </x:c>
      <x:c r="J179" s="8" t="str"/>
    </x:row>
    <x:row r="180" ht="68" customHeight="1">
      <x:c r="A180" s="2" t="str">
        <x:v>SINE</x:v>
      </x:c>
      <x:c r="B180" s="2" t="str">
        <x:v>SEQ-024</x:v>
      </x:c>
      <x:c r="C180" s="2" t="str">
        <x:v>YoungSINE L</x:v>
      </x:c>
      <x:c r="D180" s="8" t="str">
        <x:v>Consenso/representante</x:v>
      </x:c>
      <x:c r="E180" s="8" t="str">
        <x:v>L02</x:v>
      </x:c>
      <x:c r="F180" s="9" t="n">
        <x:v>1</x:v>
      </x:c>
      <x:c r="G180" s="9" t="n">
        <x:v>0</x:v>
      </x:c>
      <x:c r="H180" s="9" t="n">
        <x:v>3</x:v>
      </x:c>
      <x:c r="I180" s="8" t="str">
        <x:v>body; head; tail</x:v>
      </x:c>
      <x:c r="J180" s="8" t="str"/>
    </x:row>
    <x:row r="181" ht="68" customHeight="1">
      <x:c r="A181" s="2" t="str">
        <x:v>SINE</x:v>
      </x:c>
      <x:c r="B181" s="2" t="str">
        <x:v>SEQ-025</x:v>
      </x:c>
      <x:c r="C181" s="2" t="str">
        <x:v>YoungSINE L</x:v>
      </x:c>
      <x:c r="D181" s="8" t="str">
        <x:v>Consenso/representante</x:v>
      </x:c>
      <x:c r="E181" s="8" t="str">
        <x:v>L03</x:v>
      </x:c>
      <x:c r="F181" s="9" t="n">
        <x:v>1</x:v>
      </x:c>
      <x:c r="G181" s="9" t="n">
        <x:v>0</x:v>
      </x:c>
      <x:c r="H181" s="9" t="n">
        <x:v>3</x:v>
      </x:c>
      <x:c r="I181" s="8" t="str">
        <x:v>body; head; tail</x:v>
      </x:c>
      <x:c r="J181" s="8" t="str"/>
    </x:row>
    <x:row r="182" ht="68" customHeight="1">
      <x:c r="A182" s="2" t="str">
        <x:v>SINE</x:v>
      </x:c>
      <x:c r="B182" s="2" t="str">
        <x:v>SEQ-026</x:v>
      </x:c>
      <x:c r="C182" s="2" t="str">
        <x:v>YoungSINE L</x:v>
      </x:c>
      <x:c r="D182" s="8" t="str">
        <x:v>Consenso/representante</x:v>
      </x:c>
      <x:c r="E182" s="8" t="str">
        <x:v>L04</x:v>
      </x:c>
      <x:c r="F182" s="9" t="n">
        <x:v>1</x:v>
      </x:c>
      <x:c r="G182" s="9" t="n">
        <x:v>0</x:v>
      </x:c>
      <x:c r="H182" s="9" t="n">
        <x:v>3</x:v>
      </x:c>
      <x:c r="I182" s="8" t="str">
        <x:v>body; head; tail</x:v>
      </x:c>
      <x:c r="J182" s="8" t="str"/>
    </x:row>
    <x:row r="183" ht="68" customHeight="1">
      <x:c r="A183" s="2" t="str">
        <x:v>SINE</x:v>
      </x:c>
      <x:c r="B183" s="2" t="str">
        <x:v>SEQ-027</x:v>
      </x:c>
      <x:c r="C183" s="2" t="str">
        <x:v>YoungSINE L</x:v>
      </x:c>
      <x:c r="D183" s="8" t="str">
        <x:v>Consenso/representante</x:v>
      </x:c>
      <x:c r="E183" s="8" t="str">
        <x:v>L05</x:v>
      </x:c>
      <x:c r="F183" s="9" t="n">
        <x:v>1</x:v>
      </x:c>
      <x:c r="G183" s="9" t="n">
        <x:v>0</x:v>
      </x:c>
      <x:c r="H183" s="9" t="n">
        <x:v>3</x:v>
      </x:c>
      <x:c r="I183" s="8" t="str">
        <x:v>body; head; tail</x:v>
      </x:c>
      <x:c r="J183" s="8" t="str"/>
    </x:row>
    <x:row r="184" ht="68" customHeight="1">
      <x:c r="A184" s="2" t="str">
        <x:v>SINE</x:v>
      </x:c>
      <x:c r="B184" s="2" t="str">
        <x:v>SEQ-028</x:v>
      </x:c>
      <x:c r="C184" s="2" t="str">
        <x:v>YoungSINE L</x:v>
      </x:c>
      <x:c r="D184" s="8" t="str">
        <x:v>Consenso/representante</x:v>
      </x:c>
      <x:c r="E184" s="8" t="str">
        <x:v>L06</x:v>
      </x:c>
      <x:c r="F184" s="9" t="n">
        <x:v>1</x:v>
      </x:c>
      <x:c r="G184" s="9" t="n">
        <x:v>0</x:v>
      </x:c>
      <x:c r="H184" s="9" t="n">
        <x:v>3</x:v>
      </x:c>
      <x:c r="I184" s="8" t="str">
        <x:v>body; head; tail</x:v>
      </x:c>
      <x:c r="J184" s="8" t="str"/>
    </x:row>
    <x:row r="185" ht="68" customHeight="1">
      <x:c r="A185" s="2" t="str">
        <x:v>SINE</x:v>
      </x:c>
      <x:c r="B185" s="2" t="str">
        <x:v>SEQ-029</x:v>
      </x:c>
      <x:c r="C185" s="2" t="str">
        <x:v>YoungSINE L</x:v>
      </x:c>
      <x:c r="D185" s="8" t="str">
        <x:v>Consenso/representante</x:v>
      </x:c>
      <x:c r="E185" s="8" t="str">
        <x:v>L07</x:v>
      </x:c>
      <x:c r="F185" s="9" t="n">
        <x:v>1</x:v>
      </x:c>
      <x:c r="G185" s="9" t="n">
        <x:v>0</x:v>
      </x:c>
      <x:c r="H185" s="9" t="n">
        <x:v>3</x:v>
      </x:c>
      <x:c r="I185" s="8" t="str">
        <x:v>body; head; tail</x:v>
      </x:c>
      <x:c r="J185" s="8" t="str"/>
    </x:row>
    <x:row r="186" ht="68" customHeight="1">
      <x:c r="A186" s="2" t="str">
        <x:v>SINE</x:v>
      </x:c>
      <x:c r="B186" s="2" t="str">
        <x:v>SEQ-030</x:v>
      </x:c>
      <x:c r="C186" s="2" t="str">
        <x:v>YoungSINE L</x:v>
      </x:c>
      <x:c r="D186" s="8" t="str">
        <x:v>Consenso/representante</x:v>
      </x:c>
      <x:c r="E186" s="8" t="str">
        <x:v>L08</x:v>
      </x:c>
      <x:c r="F186" s="9" t="n">
        <x:v>1</x:v>
      </x:c>
      <x:c r="G186" s="9" t="n">
        <x:v>0</x:v>
      </x:c>
      <x:c r="H186" s="9" t="n">
        <x:v>3</x:v>
      </x:c>
      <x:c r="I186" s="8" t="str">
        <x:v>body; head; tail</x:v>
      </x:c>
      <x:c r="J186" s="8" t="str"/>
    </x:row>
    <x:row r="187" ht="68" customHeight="1">
      <x:c r="A187" s="2" t="str">
        <x:v>SINE</x:v>
      </x:c>
      <x:c r="B187" s="2" t="str">
        <x:v>SEQ-031</x:v>
      </x:c>
      <x:c r="C187" s="2" t="str">
        <x:v>YoungSINE L</x:v>
      </x:c>
      <x:c r="D187" s="8" t="str">
        <x:v>Consenso/representante</x:v>
      </x:c>
      <x:c r="E187" s="8" t="str">
        <x:v>L09</x:v>
      </x:c>
      <x:c r="F187" s="9" t="n">
        <x:v>1</x:v>
      </x:c>
      <x:c r="G187" s="9" t="n">
        <x:v>0</x:v>
      </x:c>
      <x:c r="H187" s="9" t="n">
        <x:v>3</x:v>
      </x:c>
      <x:c r="I187" s="8" t="str">
        <x:v>body; head; tail</x:v>
      </x:c>
      <x:c r="J187" s="8" t="str"/>
    </x:row>
    <x:row r="188" ht="68" customHeight="1">
      <x:c r="A188" s="2" t="str">
        <x:v>SINE</x:v>
      </x:c>
      <x:c r="B188" s="2" t="str">
        <x:v>SEQ-032</x:v>
      </x:c>
      <x:c r="C188" s="2" t="str">
        <x:v>YoungSINE L</x:v>
      </x:c>
      <x:c r="D188" s="8" t="str">
        <x:v>Consenso/representante</x:v>
      </x:c>
      <x:c r="E188" s="8" t="str">
        <x:v>L10</x:v>
      </x:c>
      <x:c r="F188" s="9" t="n">
        <x:v>1</x:v>
      </x:c>
      <x:c r="G188" s="9" t="n">
        <x:v>0</x:v>
      </x:c>
      <x:c r="H188" s="9" t="n">
        <x:v>3</x:v>
      </x:c>
      <x:c r="I188" s="8" t="str">
        <x:v>body; head; tail</x:v>
      </x:c>
      <x:c r="J188" s="8" t="str"/>
    </x:row>
    <x:row r="189" ht="68" customHeight="1">
      <x:c r="A189" s="2" t="str">
        <x:v>SINE</x:v>
      </x:c>
      <x:c r="B189" s="2" t="str">
        <x:v>SEQ-033</x:v>
      </x:c>
      <x:c r="C189" s="2" t="str">
        <x:v>YoungSINE L</x:v>
      </x:c>
      <x:c r="D189" s="8" t="str">
        <x:v>Consenso/representante</x:v>
      </x:c>
      <x:c r="E189" s="8" t="str">
        <x:v>L11</x:v>
      </x:c>
      <x:c r="F189" s="9" t="n">
        <x:v>1</x:v>
      </x:c>
      <x:c r="G189" s="9" t="n">
        <x:v>0</x:v>
      </x:c>
      <x:c r="H189" s="9" t="n">
        <x:v>3</x:v>
      </x:c>
      <x:c r="I189" s="8" t="str">
        <x:v>body; head; tail</x:v>
      </x:c>
      <x:c r="J189" s="8" t="str"/>
    </x:row>
    <x:row r="190" ht="68" customHeight="1">
      <x:c r="A190" s="2" t="str">
        <x:v>SINE</x:v>
      </x:c>
      <x:c r="B190" s="2" t="str">
        <x:v>SEQ-034</x:v>
      </x:c>
      <x:c r="C190" s="2" t="str">
        <x:v>YoungSINE L</x:v>
      </x:c>
      <x:c r="D190" s="8" t="str">
        <x:v>Consenso/representante</x:v>
      </x:c>
      <x:c r="E190" s="8" t="str">
        <x:v>L12</x:v>
      </x:c>
      <x:c r="F190" s="9" t="n">
        <x:v>1</x:v>
      </x:c>
      <x:c r="G190" s="9" t="n">
        <x:v>0</x:v>
      </x:c>
      <x:c r="H190" s="9" t="n">
        <x:v>1</x:v>
      </x:c>
      <x:c r="I190" s="8" t="str">
        <x:v>nao_separadas</x:v>
      </x:c>
      <x:c r="J190" s="8" t="str"/>
    </x:row>
    <x:row r="191" ht="68" customHeight="1">
      <x:c r="A191" s="2" t="str">
        <x:v>SINE</x:v>
      </x:c>
      <x:c r="B191" s="2" t="str">
        <x:v>SEQ-035</x:v>
      </x:c>
      <x:c r="C191" s="2" t="str">
        <x:v>YoungSINE L</x:v>
      </x:c>
      <x:c r="D191" s="8" t="str">
        <x:v>Consenso/representante</x:v>
      </x:c>
      <x:c r="E191" s="8" t="str">
        <x:v>L13</x:v>
      </x:c>
      <x:c r="F191" s="9" t="n">
        <x:v>1</x:v>
      </x:c>
      <x:c r="G191" s="9" t="n">
        <x:v>0</x:v>
      </x:c>
      <x:c r="H191" s="9" t="n">
        <x:v>3</x:v>
      </x:c>
      <x:c r="I191" s="8" t="str">
        <x:v>body; head; tail</x:v>
      </x:c>
      <x:c r="J191" s="8" t="str"/>
    </x:row>
    <x:row r="192" ht="68" customHeight="1">
      <x:c r="A192" s="2" t="str">
        <x:v>SINE</x:v>
      </x:c>
      <x:c r="B192" s="2" t="str">
        <x:v>SEQ-036</x:v>
      </x:c>
      <x:c r="C192" s="2" t="str">
        <x:v>YoungSINE L</x:v>
      </x:c>
      <x:c r="D192" s="8" t="str">
        <x:v>Consenso/representante</x:v>
      </x:c>
      <x:c r="E192" s="8" t="str">
        <x:v>L14</x:v>
      </x:c>
      <x:c r="F192" s="9" t="n">
        <x:v>1</x:v>
      </x:c>
      <x:c r="G192" s="9" t="n">
        <x:v>0</x:v>
      </x:c>
      <x:c r="H192" s="9" t="n">
        <x:v>3</x:v>
      </x:c>
      <x:c r="I192" s="8" t="str">
        <x:v>body; head; tail</x:v>
      </x:c>
      <x:c r="J192" s="8" t="str"/>
    </x:row>
    <x:row r="193" ht="68" customHeight="1">
      <x:c r="A193" s="2" t="str">
        <x:v>SINE</x:v>
      </x:c>
      <x:c r="B193" s="2" t="str">
        <x:v>SEQ-037</x:v>
      </x:c>
      <x:c r="C193" s="2" t="str">
        <x:v>YoungSINE L</x:v>
      </x:c>
      <x:c r="D193" s="8" t="str">
        <x:v>Consenso/representante</x:v>
      </x:c>
      <x:c r="E193" s="8" t="str">
        <x:v>L15</x:v>
      </x:c>
      <x:c r="F193" s="9" t="n">
        <x:v>1</x:v>
      </x:c>
      <x:c r="G193" s="9" t="n">
        <x:v>0</x:v>
      </x:c>
      <x:c r="H193" s="9" t="n">
        <x:v>3</x:v>
      </x:c>
      <x:c r="I193" s="8" t="str">
        <x:v>body; head; tail</x:v>
      </x:c>
      <x:c r="J193" s="8" t="str"/>
    </x:row>
    <x:row r="194" ht="68" customHeight="1">
      <x:c r="A194" s="2" t="str">
        <x:v>SINE</x:v>
      </x:c>
      <x:c r="B194" s="2" t="str">
        <x:v>SEQ-038</x:v>
      </x:c>
      <x:c r="C194" s="2" t="str">
        <x:v>YoungSINE L</x:v>
      </x:c>
      <x:c r="D194" s="8" t="str">
        <x:v>Consenso/representante</x:v>
      </x:c>
      <x:c r="E194" s="8" t="str">
        <x:v>L16</x:v>
      </x:c>
      <x:c r="F194" s="9" t="n">
        <x:v>1</x:v>
      </x:c>
      <x:c r="G194" s="9" t="n">
        <x:v>0</x:v>
      </x:c>
      <x:c r="H194" s="9" t="n">
        <x:v>3</x:v>
      </x:c>
      <x:c r="I194" s="8" t="str">
        <x:v>body; head; tail</x:v>
      </x:c>
      <x:c r="J194" s="8" t="str"/>
    </x:row>
    <x:row r="195" ht="68" customHeight="1">
      <x:c r="A195" s="2" t="str">
        <x:v>SINE</x:v>
      </x:c>
      <x:c r="B195" s="2" t="str">
        <x:v>SEQ-039</x:v>
      </x:c>
      <x:c r="C195" s="2" t="str">
        <x:v>YoungSINE L</x:v>
      </x:c>
      <x:c r="D195" s="8" t="str">
        <x:v>Consenso/representante</x:v>
      </x:c>
      <x:c r="E195" s="8" t="str">
        <x:v>L17</x:v>
      </x:c>
      <x:c r="F195" s="9" t="n">
        <x:v>1</x:v>
      </x:c>
      <x:c r="G195" s="9" t="n">
        <x:v>0</x:v>
      </x:c>
      <x:c r="H195" s="9" t="n">
        <x:v>3</x:v>
      </x:c>
      <x:c r="I195" s="8" t="str">
        <x:v>body; head; tail</x:v>
      </x:c>
      <x:c r="J195" s="8" t="str"/>
    </x:row>
    <x:row r="196" ht="68" customHeight="1">
      <x:c r="A196" s="2" t="str">
        <x:v>SINE</x:v>
      </x:c>
      <x:c r="B196" s="2" t="str">
        <x:v>SEQ-040</x:v>
      </x:c>
      <x:c r="C196" s="2" t="str">
        <x:v>YoungSINE M</x:v>
      </x:c>
      <x:c r="D196" s="8" t="str">
        <x:v>Consenso/representante</x:v>
      </x:c>
      <x:c r="E196" s="8" t="str">
        <x:v>M01</x:v>
      </x:c>
      <x:c r="F196" s="9" t="n">
        <x:v>1</x:v>
      </x:c>
      <x:c r="G196" s="9" t="n">
        <x:v>0</x:v>
      </x:c>
      <x:c r="H196" s="9" t="n">
        <x:v>3</x:v>
      </x:c>
      <x:c r="I196" s="8" t="str">
        <x:v>body; head; tail</x:v>
      </x:c>
      <x:c r="J196" s="8" t="str"/>
    </x:row>
    <x:row r="197" ht="68" customHeight="1">
      <x:c r="A197" s="2" t="str">
        <x:v>SINE</x:v>
      </x:c>
      <x:c r="B197" s="2" t="str">
        <x:v>SEQ-041</x:v>
      </x:c>
      <x:c r="C197" s="2" t="str">
        <x:v>YoungSINE M</x:v>
      </x:c>
      <x:c r="D197" s="8" t="str">
        <x:v>Consenso/representante</x:v>
      </x:c>
      <x:c r="E197" s="8" t="str">
        <x:v>M02</x:v>
      </x:c>
      <x:c r="F197" s="9" t="n">
        <x:v>1</x:v>
      </x:c>
      <x:c r="G197" s="9" t="n">
        <x:v>0</x:v>
      </x:c>
      <x:c r="H197" s="9" t="n">
        <x:v>3</x:v>
      </x:c>
      <x:c r="I197" s="8" t="str">
        <x:v>body; head; tail</x:v>
      </x:c>
      <x:c r="J197" s="8" t="str"/>
    </x:row>
    <x:row r="198" ht="68" customHeight="1">
      <x:c r="A198" s="2" t="str">
        <x:v>SINE</x:v>
      </x:c>
      <x:c r="B198" s="2" t="str">
        <x:v>SEQ-042</x:v>
      </x:c>
      <x:c r="C198" s="2" t="str">
        <x:v>YoungSINE M</x:v>
      </x:c>
      <x:c r="D198" s="8" t="str">
        <x:v>Consenso/representante</x:v>
      </x:c>
      <x:c r="E198" s="8" t="str">
        <x:v>M03</x:v>
      </x:c>
      <x:c r="F198" s="9" t="n">
        <x:v>1</x:v>
      </x:c>
      <x:c r="G198" s="9" t="n">
        <x:v>0</x:v>
      </x:c>
      <x:c r="H198" s="9" t="n">
        <x:v>3</x:v>
      </x:c>
      <x:c r="I198" s="8" t="str">
        <x:v>body; head; tail</x:v>
      </x:c>
      <x:c r="J198" s="8" t="str"/>
    </x:row>
    <x:row r="199" ht="68" customHeight="1">
      <x:c r="A199" s="2" t="str">
        <x:v>SINE</x:v>
      </x:c>
      <x:c r="B199" s="2" t="str">
        <x:v>SEQ-043</x:v>
      </x:c>
      <x:c r="C199" s="2" t="str">
        <x:v>YoungSINE M</x:v>
      </x:c>
      <x:c r="D199" s="8" t="str">
        <x:v>Consenso/representante</x:v>
      </x:c>
      <x:c r="E199" s="8" t="str">
        <x:v>M04</x:v>
      </x:c>
      <x:c r="F199" s="9" t="n">
        <x:v>1</x:v>
      </x:c>
      <x:c r="G199" s="9" t="n">
        <x:v>0</x:v>
      </x:c>
      <x:c r="H199" s="9" t="n">
        <x:v>3</x:v>
      </x:c>
      <x:c r="I199" s="8" t="str">
        <x:v>body; head; tail</x:v>
      </x:c>
      <x:c r="J199" s="8" t="str"/>
    </x:row>
    <x:row r="200" ht="68" customHeight="1">
      <x:c r="A200" s="2" t="str">
        <x:v>SINE</x:v>
      </x:c>
      <x:c r="B200" s="2" t="str">
        <x:v>SEQ-044</x:v>
      </x:c>
      <x:c r="C200" s="2" t="str">
        <x:v>YoungSINE M</x:v>
      </x:c>
      <x:c r="D200" s="8" t="str">
        <x:v>Consenso/representante</x:v>
      </x:c>
      <x:c r="E200" s="8" t="str">
        <x:v>M05</x:v>
      </x:c>
      <x:c r="F200" s="9" t="n">
        <x:v>1</x:v>
      </x:c>
      <x:c r="G200" s="9" t="n">
        <x:v>0</x:v>
      </x:c>
      <x:c r="H200" s="9" t="n">
        <x:v>3</x:v>
      </x:c>
      <x:c r="I200" s="8" t="str">
        <x:v>body; head; tail</x:v>
      </x:c>
      <x:c r="J200" s="8" t="str"/>
    </x:row>
    <x:row r="201" ht="68" customHeight="1">
      <x:c r="A201" s="2" t="str">
        <x:v>SINE</x:v>
      </x:c>
      <x:c r="B201" s="2" t="str">
        <x:v>SEQ-045</x:v>
      </x:c>
      <x:c r="C201" s="2" t="str">
        <x:v>YoungSINE M</x:v>
      </x:c>
      <x:c r="D201" s="8" t="str">
        <x:v>Consenso/representante</x:v>
      </x:c>
      <x:c r="E201" s="8" t="str">
        <x:v>M06</x:v>
      </x:c>
      <x:c r="F201" s="9" t="n">
        <x:v>1</x:v>
      </x:c>
      <x:c r="G201" s="9" t="n">
        <x:v>0</x:v>
      </x:c>
      <x:c r="H201" s="9" t="n">
        <x:v>3</x:v>
      </x:c>
      <x:c r="I201" s="8" t="str">
        <x:v>body; head; tail</x:v>
      </x:c>
      <x:c r="J201" s="8" t="str"/>
    </x:row>
    <x:row r="202" ht="68" customHeight="1">
      <x:c r="A202" s="2" t="str">
        <x:v>SINE</x:v>
      </x:c>
      <x:c r="B202" s="2" t="str">
        <x:v>SEQ-046</x:v>
      </x:c>
      <x:c r="C202" s="2" t="str">
        <x:v>YoungSINE M</x:v>
      </x:c>
      <x:c r="D202" s="8" t="str">
        <x:v>Consenso/representante</x:v>
      </x:c>
      <x:c r="E202" s="8" t="str">
        <x:v>M07</x:v>
      </x:c>
      <x:c r="F202" s="9" t="n">
        <x:v>1</x:v>
      </x:c>
      <x:c r="G202" s="9" t="n">
        <x:v>0</x:v>
      </x:c>
      <x:c r="H202" s="9" t="n">
        <x:v>3</x:v>
      </x:c>
      <x:c r="I202" s="8" t="str">
        <x:v>body; head; tail</x:v>
      </x:c>
      <x:c r="J202" s="8" t="str"/>
    </x:row>
    <x:row r="203" ht="68" customHeight="1">
      <x:c r="A203" s="2" t="str">
        <x:v>SINE</x:v>
      </x:c>
      <x:c r="B203" s="2" t="str">
        <x:v>SEQ-047</x:v>
      </x:c>
      <x:c r="C203" s="2" t="str">
        <x:v>YoungSINE M</x:v>
      </x:c>
      <x:c r="D203" s="8" t="str">
        <x:v>Consenso/representante</x:v>
      </x:c>
      <x:c r="E203" s="8" t="str">
        <x:v>M08</x:v>
      </x:c>
      <x:c r="F203" s="9" t="n">
        <x:v>1</x:v>
      </x:c>
      <x:c r="G203" s="9" t="n">
        <x:v>0</x:v>
      </x:c>
      <x:c r="H203" s="9" t="n">
        <x:v>3</x:v>
      </x:c>
      <x:c r="I203" s="8" t="str">
        <x:v>body; head; tail</x:v>
      </x:c>
      <x:c r="J203" s="8" t="str"/>
    </x:row>
    <x:row r="204" ht="68" customHeight="1">
      <x:c r="A204" s="2" t="str">
        <x:v>SINE</x:v>
      </x:c>
      <x:c r="B204" s="2" t="str">
        <x:v>SEQ-048</x:v>
      </x:c>
      <x:c r="C204" s="2" t="str">
        <x:v>YoungSINE M</x:v>
      </x:c>
      <x:c r="D204" s="8" t="str">
        <x:v>Consenso/representante</x:v>
      </x:c>
      <x:c r="E204" s="8" t="str">
        <x:v>M09</x:v>
      </x:c>
      <x:c r="F204" s="9" t="n">
        <x:v>1</x:v>
      </x:c>
      <x:c r="G204" s="9" t="n">
        <x:v>0</x:v>
      </x:c>
      <x:c r="H204" s="9" t="n">
        <x:v>3</x:v>
      </x:c>
      <x:c r="I204" s="8" t="str">
        <x:v>body; head; tail</x:v>
      </x:c>
      <x:c r="J204" s="8" t="str"/>
    </x:row>
    <x:row r="205" ht="68" customHeight="1">
      <x:c r="A205" s="2" t="str">
        <x:v>SINE</x:v>
      </x:c>
      <x:c r="B205" s="2" t="str">
        <x:v>SEQ-049</x:v>
      </x:c>
      <x:c r="C205" s="2" t="str">
        <x:v>YoungSINE M</x:v>
      </x:c>
      <x:c r="D205" s="8" t="str">
        <x:v>Consenso/representante</x:v>
      </x:c>
      <x:c r="E205" s="8" t="str">
        <x:v>M10</x:v>
      </x:c>
      <x:c r="F205" s="9" t="n">
        <x:v>1</x:v>
      </x:c>
      <x:c r="G205" s="9" t="n">
        <x:v>0</x:v>
      </x:c>
      <x:c r="H205" s="9" t="n">
        <x:v>3</x:v>
      </x:c>
      <x:c r="I205" s="8" t="str">
        <x:v>body; head; tail</x:v>
      </x:c>
      <x:c r="J205" s="8" t="str"/>
    </x:row>
    <x:row r="206" ht="68" customHeight="1">
      <x:c r="A206" s="2" t="str">
        <x:v>SINE</x:v>
      </x:c>
      <x:c r="B206" s="2" t="str">
        <x:v>SEQ-050</x:v>
      </x:c>
      <x:c r="C206" s="2" t="str">
        <x:v>YoungSINE M</x:v>
      </x:c>
      <x:c r="D206" s="8" t="str">
        <x:v>Consenso/representante</x:v>
      </x:c>
      <x:c r="E206" s="8" t="str">
        <x:v>M11</x:v>
      </x:c>
      <x:c r="F206" s="9" t="n">
        <x:v>1</x:v>
      </x:c>
      <x:c r="G206" s="9" t="n">
        <x:v>0</x:v>
      </x:c>
      <x:c r="H206" s="9" t="n">
        <x:v>3</x:v>
      </x:c>
      <x:c r="I206" s="8" t="str">
        <x:v>body; head; tail</x:v>
      </x:c>
      <x:c r="J206" s="8" t="str"/>
    </x:row>
    <x:row r="207" ht="68" customHeight="1">
      <x:c r="A207" s="2" t="str">
        <x:v>SINE</x:v>
      </x:c>
      <x:c r="B207" s="2" t="str">
        <x:v>SEQ-051</x:v>
      </x:c>
      <x:c r="C207" s="2" t="str">
        <x:v>YoungSINE M</x:v>
      </x:c>
      <x:c r="D207" s="8" t="str">
        <x:v>Consenso/representante</x:v>
      </x:c>
      <x:c r="E207" s="8" t="str">
        <x:v>M12</x:v>
      </x:c>
      <x:c r="F207" s="9" t="n">
        <x:v>1</x:v>
      </x:c>
      <x:c r="G207" s="9" t="n">
        <x:v>0</x:v>
      </x:c>
      <x:c r="H207" s="9" t="n">
        <x:v>3</x:v>
      </x:c>
      <x:c r="I207" s="8" t="str">
        <x:v>body; head; tail</x:v>
      </x:c>
      <x:c r="J207" s="8" t="str"/>
    </x:row>
    <x:row r="208" ht="68" customHeight="1">
      <x:c r="A208" s="2" t="str">
        <x:v>SINE</x:v>
      </x:c>
      <x:c r="B208" s="2" t="str">
        <x:v>SEQ-052</x:v>
      </x:c>
      <x:c r="C208" s="2" t="str">
        <x:v>YoungSINE S</x:v>
      </x:c>
      <x:c r="D208" s="8" t="str">
        <x:v>Consenso/representante</x:v>
      </x:c>
      <x:c r="E208" s="8" t="str">
        <x:v>S01</x:v>
      </x:c>
      <x:c r="F208" s="9" t="n">
        <x:v>1</x:v>
      </x:c>
      <x:c r="G208" s="9" t="n">
        <x:v>0</x:v>
      </x:c>
      <x:c r="H208" s="9" t="n">
        <x:v>3</x:v>
      </x:c>
      <x:c r="I208" s="8" t="str">
        <x:v>body; head; tail</x:v>
      </x:c>
      <x:c r="J208" s="8" t="str"/>
    </x:row>
    <x:row r="209" ht="68" customHeight="1">
      <x:c r="A209" s="2" t="str">
        <x:v>SINE</x:v>
      </x:c>
      <x:c r="B209" s="2" t="str">
        <x:v>SEQ-053</x:v>
      </x:c>
      <x:c r="C209" s="2" t="str">
        <x:v>YoungSINE S</x:v>
      </x:c>
      <x:c r="D209" s="8" t="str">
        <x:v>Consenso/representante</x:v>
      </x:c>
      <x:c r="E209" s="8" t="str">
        <x:v>S02</x:v>
      </x:c>
      <x:c r="F209" s="9" t="n">
        <x:v>1</x:v>
      </x:c>
      <x:c r="G209" s="9" t="n">
        <x:v>0</x:v>
      </x:c>
      <x:c r="H209" s="9" t="n">
        <x:v>3</x:v>
      </x:c>
      <x:c r="I209" s="8" t="str">
        <x:v>body; head; tail</x:v>
      </x:c>
      <x:c r="J209" s="8" t="str"/>
    </x:row>
    <x:row r="210" ht="68" customHeight="1">
      <x:c r="A210" s="2" t="str">
        <x:v>SINE</x:v>
      </x:c>
      <x:c r="B210" s="2" t="str">
        <x:v>SEQ-054</x:v>
      </x:c>
      <x:c r="C210" s="2" t="str">
        <x:v>YoungSINE S</x:v>
      </x:c>
      <x:c r="D210" s="8" t="str">
        <x:v>Consenso/representante</x:v>
      </x:c>
      <x:c r="E210" s="8" t="str">
        <x:v>S03</x:v>
      </x:c>
      <x:c r="F210" s="9" t="n">
        <x:v>1</x:v>
      </x:c>
      <x:c r="G210" s="9" t="n">
        <x:v>0</x:v>
      </x:c>
      <x:c r="H210" s="9" t="n">
        <x:v>3</x:v>
      </x:c>
      <x:c r="I210" s="8" t="str">
        <x:v>body; head; tail</x:v>
      </x:c>
      <x:c r="J210" s="8" t="str"/>
    </x:row>
    <x:row r="211" ht="68" customHeight="1">
      <x:c r="A211" s="2" t="str">
        <x:v>SINE</x:v>
      </x:c>
      <x:c r="B211" s="2" t="str">
        <x:v>SEQ-055</x:v>
      </x:c>
      <x:c r="C211" s="2" t="str">
        <x:v>YoungSINE S</x:v>
      </x:c>
      <x:c r="D211" s="8" t="str">
        <x:v>Consenso/representante</x:v>
      </x:c>
      <x:c r="E211" s="8" t="str">
        <x:v>S04</x:v>
      </x:c>
      <x:c r="F211" s="9" t="n">
        <x:v>1</x:v>
      </x:c>
      <x:c r="G211" s="9" t="n">
        <x:v>0</x:v>
      </x:c>
      <x:c r="H211" s="9" t="n">
        <x:v>3</x:v>
      </x:c>
      <x:c r="I211" s="8" t="str">
        <x:v>body; head; tail</x:v>
      </x:c>
      <x:c r="J211" s="8" t="str"/>
    </x:row>
    <x:row r="212" ht="68" customHeight="1">
      <x:c r="A212" s="2" t="str">
        <x:v>SINE</x:v>
      </x:c>
      <x:c r="B212" s="2" t="str">
        <x:v>SEQ-056</x:v>
      </x:c>
      <x:c r="C212" s="2" t="str">
        <x:v>YoungSINE S</x:v>
      </x:c>
      <x:c r="D212" s="8" t="str">
        <x:v>Consenso/representante</x:v>
      </x:c>
      <x:c r="E212" s="8" t="str">
        <x:v>S05</x:v>
      </x:c>
      <x:c r="F212" s="9" t="n">
        <x:v>1</x:v>
      </x:c>
      <x:c r="G212" s="9" t="n">
        <x:v>0</x:v>
      </x:c>
      <x:c r="H212" s="9" t="n">
        <x:v>3</x:v>
      </x:c>
      <x:c r="I212" s="8" t="str">
        <x:v>body; head; tail</x:v>
      </x:c>
      <x:c r="J212" s="8" t="str"/>
    </x:row>
    <x:row r="213" ht="68" customHeight="1">
      <x:c r="A213" s="2" t="str">
        <x:v>SINE</x:v>
      </x:c>
      <x:c r="B213" s="2" t="str">
        <x:v>SEQ-057</x:v>
      </x:c>
      <x:c r="C213" s="2" t="str">
        <x:v>YoungSINE S</x:v>
      </x:c>
      <x:c r="D213" s="8" t="str">
        <x:v>Consenso/representante</x:v>
      </x:c>
      <x:c r="E213" s="8" t="str">
        <x:v>S06</x:v>
      </x:c>
      <x:c r="F213" s="9" t="n">
        <x:v>1</x:v>
      </x:c>
      <x:c r="G213" s="9" t="n">
        <x:v>0</x:v>
      </x:c>
      <x:c r="H213" s="9" t="n">
        <x:v>3</x:v>
      </x:c>
      <x:c r="I213" s="8" t="str">
        <x:v>body; head; tail</x:v>
      </x:c>
      <x:c r="J213" s="8" t="str"/>
    </x:row>
    <x:row r="214" ht="68" customHeight="1">
      <x:c r="A214" s="2" t="str">
        <x:v>SINE</x:v>
      </x:c>
      <x:c r="B214" s="2" t="str">
        <x:v>SEQ-058</x:v>
      </x:c>
      <x:c r="C214" s="2" t="str">
        <x:v>YoungSINE S</x:v>
      </x:c>
      <x:c r="D214" s="8" t="str">
        <x:v>Consenso/representante</x:v>
      </x:c>
      <x:c r="E214" s="8" t="str">
        <x:v>S07</x:v>
      </x:c>
      <x:c r="F214" s="9" t="n">
        <x:v>1</x:v>
      </x:c>
      <x:c r="G214" s="9" t="n">
        <x:v>0</x:v>
      </x:c>
      <x:c r="H214" s="9" t="n">
        <x:v>3</x:v>
      </x:c>
      <x:c r="I214" s="8" t="str">
        <x:v>body; head; tail</x:v>
      </x:c>
      <x:c r="J214" s="8" t="str"/>
    </x:row>
    <x:row r="215" ht="68" customHeight="1">
      <x:c r="A215" s="2" t="str">
        <x:v>SINE</x:v>
      </x:c>
      <x:c r="B215" s="2" t="str">
        <x:v>SEQ-059</x:v>
      </x:c>
      <x:c r="C215" s="2" t="str">
        <x:v>YoungSINE S</x:v>
      </x:c>
      <x:c r="D215" s="8" t="str">
        <x:v>Consenso/representante</x:v>
      </x:c>
      <x:c r="E215" s="8" t="str">
        <x:v>S08</x:v>
      </x:c>
      <x:c r="F215" s="9" t="n">
        <x:v>1</x:v>
      </x:c>
      <x:c r="G215" s="9" t="n">
        <x:v>0</x:v>
      </x:c>
      <x:c r="H215" s="9" t="n">
        <x:v>3</x:v>
      </x:c>
      <x:c r="I215" s="8" t="str">
        <x:v>body; head; tail</x:v>
      </x:c>
      <x:c r="J215" s="8" t="str"/>
    </x:row>
    <x:row r="216" ht="68" customHeight="1">
      <x:c r="A216" s="2" t="str">
        <x:v>SINE</x:v>
      </x:c>
      <x:c r="B216" s="2" t="str">
        <x:v>SEQ-060</x:v>
      </x:c>
      <x:c r="C216" s="2" t="str">
        <x:v>YoungSINE S</x:v>
      </x:c>
      <x:c r="D216" s="8" t="str">
        <x:v>Consenso/representante</x:v>
      </x:c>
      <x:c r="E216" s="8" t="str">
        <x:v>S09</x:v>
      </x:c>
      <x:c r="F216" s="9" t="n">
        <x:v>1</x:v>
      </x:c>
      <x:c r="G216" s="9" t="n">
        <x:v>0</x:v>
      </x:c>
      <x:c r="H216" s="9" t="n">
        <x:v>3</x:v>
      </x:c>
      <x:c r="I216" s="8" t="str">
        <x:v>body; head; tail</x:v>
      </x:c>
      <x:c r="J216" s="8" t="str"/>
    </x:row>
    <x:row r="217" ht="68" customHeight="1">
      <x:c r="A217" s="2" t="str">
        <x:v>SINE</x:v>
      </x:c>
      <x:c r="B217" s="2" t="str">
        <x:v>SEQ-061</x:v>
      </x:c>
      <x:c r="C217" s="2" t="str">
        <x:v>YoungSINE S</x:v>
      </x:c>
      <x:c r="D217" s="8" t="str">
        <x:v>Consenso/representante</x:v>
      </x:c>
      <x:c r="E217" s="8" t="str">
        <x:v>S10</x:v>
      </x:c>
      <x:c r="F217" s="9" t="n">
        <x:v>1</x:v>
      </x:c>
      <x:c r="G217" s="9" t="n">
        <x:v>0</x:v>
      </x:c>
      <x:c r="H217" s="9" t="n">
        <x:v>3</x:v>
      </x:c>
      <x:c r="I217" s="8" t="str">
        <x:v>body; head; tail</x:v>
      </x:c>
      <x:c r="J217" s="8" t="str"/>
    </x:row>
    <x:row r="218" ht="68" customHeight="1">
      <x:c r="A218" s="2" t="str">
        <x:v>SINE</x:v>
      </x:c>
      <x:c r="B218" s="2" t="str">
        <x:v>SEQ-062</x:v>
      </x:c>
      <x:c r="C218" s="2" t="str">
        <x:v>YoungSINE S</x:v>
      </x:c>
      <x:c r="D218" s="8" t="str">
        <x:v>Consenso/representante</x:v>
      </x:c>
      <x:c r="E218" s="8" t="str">
        <x:v>S11</x:v>
      </x:c>
      <x:c r="F218" s="9" t="n">
        <x:v>1</x:v>
      </x:c>
      <x:c r="G218" s="9" t="n">
        <x:v>0</x:v>
      </x:c>
      <x:c r="H218" s="9" t="n">
        <x:v>3</x:v>
      </x:c>
      <x:c r="I218" s="8" t="str">
        <x:v>body; head; tail</x:v>
      </x:c>
      <x:c r="J218" s="8" t="str"/>
    </x:row>
    <x:row r="219" ht="68" customHeight="1">
      <x:c r="A219" s="2" t="str">
        <x:v>SINE</x:v>
      </x:c>
      <x:c r="B219" s="2" t="str">
        <x:v>SEQ-063</x:v>
      </x:c>
      <x:c r="C219" s="2" t="str">
        <x:v>YoungSINE S</x:v>
      </x:c>
      <x:c r="D219" s="8" t="str">
        <x:v>Consenso/representante</x:v>
      </x:c>
      <x:c r="E219" s="8" t="str">
        <x:v>S12</x:v>
      </x:c>
      <x:c r="F219" s="9" t="n">
        <x:v>1</x:v>
      </x:c>
      <x:c r="G219" s="9" t="n">
        <x:v>0</x:v>
      </x:c>
      <x:c r="H219" s="9" t="n">
        <x:v>3</x:v>
      </x:c>
      <x:c r="I219" s="8" t="str">
        <x:v>body; head; tail</x:v>
      </x:c>
      <x:c r="J219" s="8" t="str"/>
    </x:row>
    <x:row r="220" ht="68" customHeight="1">
      <x:c r="A220" s="2" t="str">
        <x:v>SINE</x:v>
      </x:c>
      <x:c r="B220" s="2" t="str">
        <x:v>SEQ-064</x:v>
      </x:c>
      <x:c r="C220" s="2" t="str">
        <x:v>YoungSINE S</x:v>
      </x:c>
      <x:c r="D220" s="8" t="str">
        <x:v>Consenso/representante</x:v>
      </x:c>
      <x:c r="E220" s="8" t="str">
        <x:v>S13</x:v>
      </x:c>
      <x:c r="F220" s="9" t="n">
        <x:v>1</x:v>
      </x:c>
      <x:c r="G220" s="9" t="n">
        <x:v>0</x:v>
      </x:c>
      <x:c r="H220" s="9" t="n">
        <x:v>3</x:v>
      </x:c>
      <x:c r="I220" s="8" t="str">
        <x:v>body; head; tail</x:v>
      </x:c>
      <x:c r="J220" s="8" t="str"/>
    </x:row>
    <x:row r="221" ht="68" customHeight="1">
      <x:c r="A221" s="2" t="str">
        <x:v>SINE</x:v>
      </x:c>
      <x:c r="B221" s="2" t="str">
        <x:v>SEQ-065</x:v>
      </x:c>
      <x:c r="C221" s="2" t="str">
        <x:v>YoungSINE S</x:v>
      </x:c>
      <x:c r="D221" s="8" t="str">
        <x:v>Consenso/representante</x:v>
      </x:c>
      <x:c r="E221" s="8" t="str">
        <x:v>S14</x:v>
      </x:c>
      <x:c r="F221" s="9" t="n">
        <x:v>1</x:v>
      </x:c>
      <x:c r="G221" s="9" t="n">
        <x:v>0</x:v>
      </x:c>
      <x:c r="H221" s="9" t="n">
        <x:v>3</x:v>
      </x:c>
      <x:c r="I221" s="8" t="str">
        <x:v>body; head; tail</x:v>
      </x:c>
      <x:c r="J221" s="8" t="str"/>
    </x:row>
    <x:row r="222" ht="68" customHeight="1">
      <x:c r="A222" s="2" t="str">
        <x:v>SINE</x:v>
      </x:c>
      <x:c r="B222" s="2" t="str">
        <x:v>SEQ-066</x:v>
      </x:c>
      <x:c r="C222" s="2" t="str">
        <x:v>YoungSINE S</x:v>
      </x:c>
      <x:c r="D222" s="8" t="str">
        <x:v>Consenso/representante</x:v>
      </x:c>
      <x:c r="E222" s="8" t="str">
        <x:v>S15</x:v>
      </x:c>
      <x:c r="F222" s="9" t="n">
        <x:v>1</x:v>
      </x:c>
      <x:c r="G222" s="9" t="n">
        <x:v>0</x:v>
      </x:c>
      <x:c r="H222" s="9" t="n">
        <x:v>3</x:v>
      </x:c>
      <x:c r="I222" s="8" t="str">
        <x:v>body; head; tail</x:v>
      </x:c>
      <x:c r="J222" s="8" t="str"/>
    </x:row>
    <x:row r="223" ht="68" customHeight="1">
      <x:c r="A223" s="2" t="str">
        <x:v>SINE</x:v>
      </x:c>
      <x:c r="B223" s="2" t="str">
        <x:v>SEQ-067</x:v>
      </x:c>
      <x:c r="C223" s="2" t="str">
        <x:v>YoungSINE S</x:v>
      </x:c>
      <x:c r="D223" s="8" t="str">
        <x:v>Consenso/representante</x:v>
      </x:c>
      <x:c r="E223" s="8" t="str">
        <x:v>S16</x:v>
      </x:c>
      <x:c r="F223" s="9" t="n">
        <x:v>1</x:v>
      </x:c>
      <x:c r="G223" s="9" t="n">
        <x:v>0</x:v>
      </x:c>
      <x:c r="H223" s="9" t="n">
        <x:v>3</x:v>
      </x:c>
      <x:c r="I223" s="8" t="str">
        <x:v>body; head; tail</x:v>
      </x:c>
      <x:c r="J223" s="8" t="str"/>
    </x:row>
    <x:row r="224" ht="68" customHeight="1">
      <x:c r="A224" s="2" t="str">
        <x:v>SINE</x:v>
      </x:c>
      <x:c r="B224" s="2" t="str">
        <x:v>SEQ-068</x:v>
      </x:c>
      <x:c r="C224" s="2" t="str">
        <x:v>YoungSINE S</x:v>
      </x:c>
      <x:c r="D224" s="8" t="str">
        <x:v>Consenso/representante</x:v>
      </x:c>
      <x:c r="E224" s="8" t="str">
        <x:v>S17</x:v>
      </x:c>
      <x:c r="F224" s="9" t="n">
        <x:v>1</x:v>
      </x:c>
      <x:c r="G224" s="9" t="n">
        <x:v>0</x:v>
      </x:c>
      <x:c r="H224" s="9" t="n">
        <x:v>3</x:v>
      </x:c>
      <x:c r="I224" s="8" t="str">
        <x:v>body; head; tail</x:v>
      </x:c>
      <x:c r="J224" s="8" t="str"/>
    </x:row>
    <x:row r="225" ht="68" customHeight="1">
      <x:c r="A225" s="2" t="str">
        <x:v>SINE</x:v>
      </x:c>
      <x:c r="B225" s="2" t="str">
        <x:v>SEQ-069</x:v>
      </x:c>
      <x:c r="C225" s="2" t="str">
        <x:v>YoungSINE S</x:v>
      </x:c>
      <x:c r="D225" s="8" t="str">
        <x:v>Consenso/representante</x:v>
      </x:c>
      <x:c r="E225" s="8" t="str">
        <x:v>S18</x:v>
      </x:c>
      <x:c r="F225" s="9" t="n">
        <x:v>1</x:v>
      </x:c>
      <x:c r="G225" s="9" t="n">
        <x:v>0</x:v>
      </x:c>
      <x:c r="H225" s="9" t="n">
        <x:v>3</x:v>
      </x:c>
      <x:c r="I225" s="8" t="str">
        <x:v>body; head; tail</x:v>
      </x:c>
      <x:c r="J225" s="8" t="str"/>
    </x:row>
    <x:row r="226" ht="68" customHeight="1">
      <x:c r="A226" s="2" t="str">
        <x:v>SINE</x:v>
      </x:c>
      <x:c r="B226" s="2" t="str">
        <x:v>SEQ-070</x:v>
      </x:c>
      <x:c r="C226" s="2" t="str">
        <x:v>YoungSINE S</x:v>
      </x:c>
      <x:c r="D226" s="8" t="str">
        <x:v>Consenso/representante</x:v>
      </x:c>
      <x:c r="E226" s="8" t="str">
        <x:v>S19</x:v>
      </x:c>
      <x:c r="F226" s="9" t="n">
        <x:v>1</x:v>
      </x:c>
      <x:c r="G226" s="9" t="n">
        <x:v>0</x:v>
      </x:c>
      <x:c r="H226" s="9" t="n">
        <x:v>3</x:v>
      </x:c>
      <x:c r="I226" s="8" t="str">
        <x:v>body; head; tail</x:v>
      </x:c>
      <x:c r="J226" s="8" t="str"/>
    </x:row>
    <x:row r="227" ht="68" customHeight="1">
      <x:c r="A227" s="2" t="str">
        <x:v>SINE</x:v>
      </x:c>
      <x:c r="B227" s="2" t="str">
        <x:v>SEQ-071</x:v>
      </x:c>
      <x:c r="C227" s="2" t="str">
        <x:v>YoungSINE S</x:v>
      </x:c>
      <x:c r="D227" s="8" t="str">
        <x:v>Consenso/representante</x:v>
      </x:c>
      <x:c r="E227" s="8" t="str">
        <x:v>S20</x:v>
      </x:c>
      <x:c r="F227" s="9" t="n">
        <x:v>1</x:v>
      </x:c>
      <x:c r="G227" s="9" t="n">
        <x:v>0</x:v>
      </x:c>
      <x:c r="H227" s="9" t="n">
        <x:v>3</x:v>
      </x:c>
      <x:c r="I227" s="8" t="str">
        <x:v>body; head; tail</x:v>
      </x:c>
      <x:c r="J227" s="8" t="str"/>
    </x:row>
    <x:row r="228" ht="68" customHeight="1">
      <x:c r="A228" s="2" t="str">
        <x:v>SINE</x:v>
      </x:c>
      <x:c r="B228" s="2" t="str">
        <x:v>SEQ-072</x:v>
      </x:c>
      <x:c r="C228" s="2" t="str">
        <x:v>YoungSINE S</x:v>
      </x:c>
      <x:c r="D228" s="8" t="str">
        <x:v>Consenso/representante</x:v>
      </x:c>
      <x:c r="E228" s="8" t="str">
        <x:v>S21</x:v>
      </x:c>
      <x:c r="F228" s="9" t="n">
        <x:v>1</x:v>
      </x:c>
      <x:c r="G228" s="9" t="n">
        <x:v>0</x:v>
      </x:c>
      <x:c r="H228" s="9" t="n">
        <x:v>3</x:v>
      </x:c>
      <x:c r="I228" s="8" t="str">
        <x:v>body; head; tail</x:v>
      </x:c>
      <x:c r="J228" s="8" t="str"/>
    </x:row>
    <x:row r="229" ht="68" customHeight="1">
      <x:c r="A229" s="2" t="str">
        <x:v>SINE</x:v>
      </x:c>
      <x:c r="B229" s="2" t="str">
        <x:v>SEQ-073</x:v>
      </x:c>
      <x:c r="C229" s="2" t="str">
        <x:v>YoungSINE S</x:v>
      </x:c>
      <x:c r="D229" s="8" t="str">
        <x:v>Consenso/representante</x:v>
      </x:c>
      <x:c r="E229" s="8" t="str">
        <x:v>S22</x:v>
      </x:c>
      <x:c r="F229" s="9" t="n">
        <x:v>1</x:v>
      </x:c>
      <x:c r="G229" s="9" t="n">
        <x:v>0</x:v>
      </x:c>
      <x:c r="H229" s="9" t="n">
        <x:v>3</x:v>
      </x:c>
      <x:c r="I229" s="8" t="str">
        <x:v>body; head; tail</x:v>
      </x:c>
      <x:c r="J229" s="8" t="str"/>
    </x:row>
    <x:row r="230" ht="68" customHeight="1">
      <x:c r="A230" s="2" t="str">
        <x:v>SINE</x:v>
      </x:c>
      <x:c r="B230" s="2" t="str">
        <x:v>SEQ-074</x:v>
      </x:c>
      <x:c r="C230" s="2" t="str">
        <x:v>YoungSINE S</x:v>
      </x:c>
      <x:c r="D230" s="8" t="str">
        <x:v>Consenso/representante</x:v>
      </x:c>
      <x:c r="E230" s="8" t="str">
        <x:v>S23</x:v>
      </x:c>
      <x:c r="F230" s="9" t="n">
        <x:v>1</x:v>
      </x:c>
      <x:c r="G230" s="9" t="n">
        <x:v>0</x:v>
      </x:c>
      <x:c r="H230" s="9" t="n">
        <x:v>3</x:v>
      </x:c>
      <x:c r="I230" s="8" t="str">
        <x:v>body; head; tail</x:v>
      </x:c>
      <x:c r="J230" s="8" t="str"/>
    </x:row>
    <x:row r="231" ht="68" customHeight="1">
      <x:c r="A231" s="2" t="str">
        <x:v>SINE</x:v>
      </x:c>
      <x:c r="B231" s="2" t="str">
        <x:v>SEQ-075</x:v>
      </x:c>
      <x:c r="C231" s="2" t="str">
        <x:v>YoungSINE S</x:v>
      </x:c>
      <x:c r="D231" s="8" t="str">
        <x:v>Consenso/representante</x:v>
      </x:c>
      <x:c r="E231" s="8" t="str">
        <x:v>S24</x:v>
      </x:c>
      <x:c r="F231" s="9" t="n">
        <x:v>1</x:v>
      </x:c>
      <x:c r="G231" s="9" t="n">
        <x:v>0</x:v>
      </x:c>
      <x:c r="H231" s="9" t="n">
        <x:v>1</x:v>
      </x:c>
      <x:c r="I231" s="8" t="str">
        <x:v>nao_separadas</x:v>
      </x:c>
      <x:c r="J231" s="8" t="str"/>
    </x:row>
    <x:row r="232" ht="68" customHeight="1">
      <x:c r="A232" s="2" t="str">
        <x:v>SINE</x:v>
      </x:c>
      <x:c r="B232" s="2" t="str">
        <x:v>SEQ-076</x:v>
      </x:c>
      <x:c r="C232" s="2" t="str">
        <x:v>YoungSINE S</x:v>
      </x:c>
      <x:c r="D232" s="8" t="str">
        <x:v>Consenso/representante</x:v>
      </x:c>
      <x:c r="E232" s="8" t="str">
        <x:v>S25</x:v>
      </x:c>
      <x:c r="F232" s="9" t="n">
        <x:v>1</x:v>
      </x:c>
      <x:c r="G232" s="9" t="n">
        <x:v>0</x:v>
      </x:c>
      <x:c r="H232" s="9" t="n">
        <x:v>3</x:v>
      </x:c>
      <x:c r="I232" s="8" t="str">
        <x:v>body; head; tail</x:v>
      </x:c>
      <x:c r="J232" s="8" t="str"/>
    </x:row>
    <x:row r="233" ht="68" customHeight="1">
      <x:c r="A233" s="2" t="str">
        <x:v>SINE</x:v>
      </x:c>
      <x:c r="B233" s="2" t="str">
        <x:v>SEQ-077</x:v>
      </x:c>
      <x:c r="C233" s="2" t="str">
        <x:v>YoungSINE S</x:v>
      </x:c>
      <x:c r="D233" s="8" t="str">
        <x:v>Consenso/representante</x:v>
      </x:c>
      <x:c r="E233" s="8" t="str">
        <x:v>S26</x:v>
      </x:c>
      <x:c r="F233" s="9" t="n">
        <x:v>1</x:v>
      </x:c>
      <x:c r="G233" s="9" t="n">
        <x:v>0</x:v>
      </x:c>
      <x:c r="H233" s="9" t="n">
        <x:v>3</x:v>
      </x:c>
      <x:c r="I233" s="8" t="str">
        <x:v>body; head; tail</x:v>
      </x:c>
      <x:c r="J233" s="8" t="str"/>
    </x:row>
    <x:row r="234" ht="68" customHeight="1">
      <x:c r="A234" s="2" t="str">
        <x:v>SINE</x:v>
      </x:c>
      <x:c r="B234" s="2" t="str">
        <x:v>SEQ-078</x:v>
      </x:c>
      <x:c r="C234" s="2" t="str">
        <x:v>YoungSINE S</x:v>
      </x:c>
      <x:c r="D234" s="8" t="str">
        <x:v>Consenso/representante</x:v>
      </x:c>
      <x:c r="E234" s="8" t="str">
        <x:v>S27</x:v>
      </x:c>
      <x:c r="F234" s="9" t="n">
        <x:v>1</x:v>
      </x:c>
      <x:c r="G234" s="9" t="n">
        <x:v>0</x:v>
      </x:c>
      <x:c r="H234" s="9" t="n">
        <x:v>3</x:v>
      </x:c>
      <x:c r="I234" s="8" t="str">
        <x:v>body; head; tail</x:v>
      </x:c>
      <x:c r="J234" s="8" t="str"/>
    </x:row>
    <x:row r="235" ht="68" customHeight="1">
      <x:c r="A235" s="2" t="str">
        <x:v>SINE</x:v>
      </x:c>
      <x:c r="B235" s="2" t="str">
        <x:v>SEQ-079</x:v>
      </x:c>
      <x:c r="C235" s="2" t="str">
        <x:v>YoungSINE S</x:v>
      </x:c>
      <x:c r="D235" s="8" t="str">
        <x:v>Consenso/representante</x:v>
      </x:c>
      <x:c r="E235" s="8" t="str">
        <x:v>S28</x:v>
      </x:c>
      <x:c r="F235" s="9" t="n">
        <x:v>1</x:v>
      </x:c>
      <x:c r="G235" s="9" t="n">
        <x:v>0</x:v>
      </x:c>
      <x:c r="H235" s="9" t="n">
        <x:v>3</x:v>
      </x:c>
      <x:c r="I235" s="8" t="str">
        <x:v>body; head; tail</x:v>
      </x:c>
      <x:c r="J235" s="8" t="str"/>
    </x:row>
    <x:row r="236" ht="68" customHeight="1">
      <x:c r="A236" s="2" t="str">
        <x:v>SINE</x:v>
      </x:c>
      <x:c r="B236" s="2" t="str">
        <x:v>SEQ-080</x:v>
      </x:c>
      <x:c r="C236" s="2" t="str">
        <x:v>YoungSINE S</x:v>
      </x:c>
      <x:c r="D236" s="8" t="str">
        <x:v>Consenso/representante</x:v>
      </x:c>
      <x:c r="E236" s="8" t="str">
        <x:v>S29</x:v>
      </x:c>
      <x:c r="F236" s="9" t="n">
        <x:v>1</x:v>
      </x:c>
      <x:c r="G236" s="9" t="n">
        <x:v>0</x:v>
      </x:c>
      <x:c r="H236" s="9" t="n">
        <x:v>3</x:v>
      </x:c>
      <x:c r="I236" s="8" t="str">
        <x:v>body; head; tail</x:v>
      </x:c>
      <x:c r="J236" s="8" t="str"/>
    </x:row>
    <x:row r="237" ht="68" customHeight="1">
      <x:c r="A237" s="2" t="str">
        <x:v>SINE</x:v>
      </x:c>
      <x:c r="B237" s="2" t="str">
        <x:v>SEQ-081</x:v>
      </x:c>
      <x:c r="C237" s="2" t="str">
        <x:v>YoungSINE S</x:v>
      </x:c>
      <x:c r="D237" s="8" t="str">
        <x:v>Consenso/representante</x:v>
      </x:c>
      <x:c r="E237" s="8" t="str">
        <x:v>S30</x:v>
      </x:c>
      <x:c r="F237" s="9" t="n">
        <x:v>1</x:v>
      </x:c>
      <x:c r="G237" s="9" t="n">
        <x:v>0</x:v>
      </x:c>
      <x:c r="H237" s="9" t="n">
        <x:v>1</x:v>
      </x:c>
      <x:c r="I237" s="8" t="str">
        <x:v>nao_separadas</x:v>
      </x:c>
      <x:c r="J237" s="8" t="str"/>
    </x:row>
    <x:row r="238" ht="68" customHeight="1">
      <x:c r="A238" s="2" t="str">
        <x:v>SINE</x:v>
      </x:c>
      <x:c r="B238" s="2" t="str">
        <x:v>SEQ-082</x:v>
      </x:c>
      <x:c r="C238" s="2" t="str">
        <x:v>YoungSINE S</x:v>
      </x:c>
      <x:c r="D238" s="8" t="str">
        <x:v>Consenso/representante</x:v>
      </x:c>
      <x:c r="E238" s="8" t="str">
        <x:v>S31</x:v>
      </x:c>
      <x:c r="F238" s="9" t="n">
        <x:v>1</x:v>
      </x:c>
      <x:c r="G238" s="9" t="n">
        <x:v>0</x:v>
      </x:c>
      <x:c r="H238" s="9" t="n">
        <x:v>3</x:v>
      </x:c>
      <x:c r="I238" s="8" t="str">
        <x:v>body; head; tail</x:v>
      </x:c>
      <x:c r="J238" s="8" t="str"/>
    </x:row>
    <x:row r="239" ht="68" customHeight="1">
      <x:c r="A239" s="2" t="str">
        <x:v>SINE</x:v>
      </x:c>
      <x:c r="B239" s="2" t="str">
        <x:v>SEQ-083</x:v>
      </x:c>
      <x:c r="C239" s="2" t="str">
        <x:v>YoungSINE S</x:v>
      </x:c>
      <x:c r="D239" s="8" t="str">
        <x:v>Consenso/representante</x:v>
      </x:c>
      <x:c r="E239" s="8" t="str">
        <x:v>S32</x:v>
      </x:c>
      <x:c r="F239" s="9" t="n">
        <x:v>1</x:v>
      </x:c>
      <x:c r="G239" s="9" t="n">
        <x:v>0</x:v>
      </x:c>
      <x:c r="H239" s="9" t="n">
        <x:v>3</x:v>
      </x:c>
      <x:c r="I239" s="8" t="str">
        <x:v>body; head; tail</x:v>
      </x:c>
      <x:c r="J239" s="8" t="str"/>
    </x:row>
    <x:row r="240" ht="68" customHeight="1">
      <x:c r="A240" s="2" t="str">
        <x:v>SINE</x:v>
      </x:c>
      <x:c r="B240" s="2" t="str">
        <x:v>SEQ-084</x:v>
      </x:c>
      <x:c r="C240" s="2" t="str">
        <x:v>YoungSINE S</x:v>
      </x:c>
      <x:c r="D240" s="8" t="str">
        <x:v>Consenso/representante</x:v>
      </x:c>
      <x:c r="E240" s="8" t="str">
        <x:v>S33</x:v>
      </x:c>
      <x:c r="F240" s="9" t="n">
        <x:v>1</x:v>
      </x:c>
      <x:c r="G240" s="9" t="n">
        <x:v>0</x:v>
      </x:c>
      <x:c r="H240" s="9" t="n">
        <x:v>1</x:v>
      </x:c>
      <x:c r="I240" s="8" t="str">
        <x:v>nao_separadas</x:v>
      </x:c>
      <x:c r="J240" s="8" t="str"/>
    </x:row>
    <x:row r="241" ht="68" customHeight="1">
      <x:c r="A241" s="2" t="str">
        <x:v>SINE</x:v>
      </x:c>
      <x:c r="B241" s="2" t="str">
        <x:v>SEQ-085</x:v>
      </x:c>
      <x:c r="C241" s="2" t="str">
        <x:v>YoungSINE S</x:v>
      </x:c>
      <x:c r="D241" s="8" t="str">
        <x:v>Consenso/representante</x:v>
      </x:c>
      <x:c r="E241" s="8" t="str">
        <x:v>S34</x:v>
      </x:c>
      <x:c r="F241" s="9" t="n">
        <x:v>1</x:v>
      </x:c>
      <x:c r="G241" s="9" t="n">
        <x:v>0</x:v>
      </x:c>
      <x:c r="H241" s="9" t="n">
        <x:v>3</x:v>
      </x:c>
      <x:c r="I241" s="8" t="str">
        <x:v>body; head; tail</x:v>
      </x:c>
      <x:c r="J241" s="8" t="str"/>
    </x:row>
    <x:row r="242" ht="68" customHeight="1">
      <x:c r="A242" s="2" t="str">
        <x:v>SINE</x:v>
      </x:c>
      <x:c r="B242" s="2" t="str">
        <x:v>SEQ-086</x:v>
      </x:c>
      <x:c r="C242" s="2" t="str">
        <x:v>YoungSINE S</x:v>
      </x:c>
      <x:c r="D242" s="8" t="str">
        <x:v>Consenso/representante</x:v>
      </x:c>
      <x:c r="E242" s="8" t="str">
        <x:v>S35</x:v>
      </x:c>
      <x:c r="F242" s="9" t="n">
        <x:v>1</x:v>
      </x:c>
      <x:c r="G242" s="9" t="n">
        <x:v>0</x:v>
      </x:c>
      <x:c r="H242" s="9" t="n">
        <x:v>3</x:v>
      </x:c>
      <x:c r="I242" s="8" t="str">
        <x:v>body; head; tail</x:v>
      </x:c>
      <x:c r="J242" s="8" t="str"/>
    </x:row>
    <x:row r="243" ht="68" customHeight="1">
      <x:c r="A243" s="2" t="str">
        <x:v>SINE</x:v>
      </x:c>
      <x:c r="B243" s="2" t="str">
        <x:v>SEQ-087</x:v>
      </x:c>
      <x:c r="C243" s="2" t="str">
        <x:v>YoungSINE S</x:v>
      </x:c>
      <x:c r="D243" s="8" t="str">
        <x:v>Consenso/representante</x:v>
      </x:c>
      <x:c r="E243" s="8" t="str">
        <x:v>S36</x:v>
      </x:c>
      <x:c r="F243" s="9" t="n">
        <x:v>1</x:v>
      </x:c>
      <x:c r="G243" s="9" t="n">
        <x:v>0</x:v>
      </x:c>
      <x:c r="H243" s="9" t="n">
        <x:v>3</x:v>
      </x:c>
      <x:c r="I243" s="8" t="str">
        <x:v>body; head; tail</x:v>
      </x:c>
      <x:c r="J243" s="8" t="str"/>
    </x:row>
    <x:row r="244" ht="68" customHeight="1">
      <x:c r="A244" s="2" t="str">
        <x:v>SINE</x:v>
      </x:c>
      <x:c r="B244" s="2" t="str">
        <x:v>SEQ-088</x:v>
      </x:c>
      <x:c r="C244" s="2" t="str">
        <x:v>YoungSINE S</x:v>
      </x:c>
      <x:c r="D244" s="8" t="str">
        <x:v>Consenso/representante</x:v>
      </x:c>
      <x:c r="E244" s="8" t="str">
        <x:v>S37</x:v>
      </x:c>
      <x:c r="F244" s="9" t="n">
        <x:v>1</x:v>
      </x:c>
      <x:c r="G244" s="9" t="n">
        <x:v>0</x:v>
      </x:c>
      <x:c r="H244" s="9" t="n">
        <x:v>3</x:v>
      </x:c>
      <x:c r="I244" s="8" t="str">
        <x:v>body; head; tail</x:v>
      </x:c>
      <x:c r="J244" s="8" t="str"/>
    </x:row>
    <x:row r="245" ht="68" customHeight="1">
      <x:c r="A245" s="2" t="str">
        <x:v>SINE</x:v>
      </x:c>
      <x:c r="B245" s="2" t="str">
        <x:v>SEQ-089</x:v>
      </x:c>
      <x:c r="C245" s="2" t="str">
        <x:v>YoungSINE S</x:v>
      </x:c>
      <x:c r="D245" s="8" t="str">
        <x:v>Consenso/representante</x:v>
      </x:c>
      <x:c r="E245" s="8" t="str">
        <x:v>S38</x:v>
      </x:c>
      <x:c r="F245" s="9" t="n">
        <x:v>1</x:v>
      </x:c>
      <x:c r="G245" s="9" t="n">
        <x:v>0</x:v>
      </x:c>
      <x:c r="H245" s="9" t="n">
        <x:v>3</x:v>
      </x:c>
      <x:c r="I245" s="8" t="str">
        <x:v>body; head; tail</x:v>
      </x:c>
      <x:c r="J245" s="8" t="str"/>
    </x:row>
    <x:row r="246" ht="68" customHeight="1">
      <x:c r="A246" s="2" t="str">
        <x:v>SINE</x:v>
      </x:c>
      <x:c r="B246" s="2" t="str">
        <x:v>SEQ-090</x:v>
      </x:c>
      <x:c r="C246" s="2" t="str">
        <x:v>YoungSINE S</x:v>
      </x:c>
      <x:c r="D246" s="8" t="str">
        <x:v>Consenso/representante</x:v>
      </x:c>
      <x:c r="E246" s="8" t="str">
        <x:v>S39</x:v>
      </x:c>
      <x:c r="F246" s="9" t="n">
        <x:v>1</x:v>
      </x:c>
      <x:c r="G246" s="9" t="n">
        <x:v>0</x:v>
      </x:c>
      <x:c r="H246" s="9" t="n">
        <x:v>3</x:v>
      </x:c>
      <x:c r="I246" s="8" t="str">
        <x:v>body; head; tail</x:v>
      </x:c>
      <x:c r="J246" s="8" t="str"/>
    </x:row>
    <x:row r="247" ht="68" customHeight="1">
      <x:c r="A247" s="2" t="str">
        <x:v>SINE</x:v>
      </x:c>
      <x:c r="B247" s="2" t="str">
        <x:v>SEQ-091</x:v>
      </x:c>
      <x:c r="C247" s="2" t="str">
        <x:v>YoungSINE S</x:v>
      </x:c>
      <x:c r="D247" s="8" t="str">
        <x:v>Consenso/representante</x:v>
      </x:c>
      <x:c r="E247" s="8" t="str">
        <x:v>S40</x:v>
      </x:c>
      <x:c r="F247" s="9" t="n">
        <x:v>1</x:v>
      </x:c>
      <x:c r="G247" s="9" t="n">
        <x:v>0</x:v>
      </x:c>
      <x:c r="H247" s="9" t="n">
        <x:v>3</x:v>
      </x:c>
      <x:c r="I247" s="8" t="str">
        <x:v>body; head; tail</x:v>
      </x:c>
      <x:c r="J247" s="8" t="str"/>
    </x:row>
    <x:row r="248" ht="68" customHeight="1">
      <x:c r="A248" s="2" t="str">
        <x:v>SINE</x:v>
      </x:c>
      <x:c r="B248" s="2" t="str">
        <x:v>SEQ-092</x:v>
      </x:c>
      <x:c r="C248" s="2" t="str">
        <x:v>YoungSINE S</x:v>
      </x:c>
      <x:c r="D248" s="8" t="str">
        <x:v>Consenso/representante</x:v>
      </x:c>
      <x:c r="E248" s="8" t="str">
        <x:v>S41</x:v>
      </x:c>
      <x:c r="F248" s="9" t="n">
        <x:v>1</x:v>
      </x:c>
      <x:c r="G248" s="9" t="n">
        <x:v>0</x:v>
      </x:c>
      <x:c r="H248" s="9" t="n">
        <x:v>3</x:v>
      </x:c>
      <x:c r="I248" s="8" t="str">
        <x:v>body; head; tail</x:v>
      </x:c>
      <x:c r="J248" s="8" t="str"/>
    </x:row>
    <x:row r="249" ht="68" customHeight="1">
      <x:c r="A249" s="2" t="str">
        <x:v>SINE</x:v>
      </x:c>
      <x:c r="B249" s="2" t="str">
        <x:v>SEQ-093</x:v>
      </x:c>
      <x:c r="C249" s="2" t="str">
        <x:v>YoungSINE S</x:v>
      </x:c>
      <x:c r="D249" s="8" t="str">
        <x:v>Consenso/representante</x:v>
      </x:c>
      <x:c r="E249" s="8" t="str">
        <x:v>S42</x:v>
      </x:c>
      <x:c r="F249" s="9" t="n">
        <x:v>1</x:v>
      </x:c>
      <x:c r="G249" s="9" t="n">
        <x:v>0</x:v>
      </x:c>
      <x:c r="H249" s="9" t="n">
        <x:v>3</x:v>
      </x:c>
      <x:c r="I249" s="8" t="str">
        <x:v>body; head; tail</x:v>
      </x:c>
      <x:c r="J249" s="8" t="str"/>
    </x:row>
    <x:row r="250" ht="68" customHeight="1">
      <x:c r="A250" s="2" t="str">
        <x:v>SINE</x:v>
      </x:c>
      <x:c r="B250" s="2" t="str">
        <x:v>SEQ-094</x:v>
      </x:c>
      <x:c r="C250" s="2" t="str">
        <x:v>YoungSINE S</x:v>
      </x:c>
      <x:c r="D250" s="8" t="str">
        <x:v>Consenso/representante</x:v>
      </x:c>
      <x:c r="E250" s="8" t="str">
        <x:v>S43</x:v>
      </x:c>
      <x:c r="F250" s="9" t="n">
        <x:v>1</x:v>
      </x:c>
      <x:c r="G250" s="9" t="n">
        <x:v>0</x:v>
      </x:c>
      <x:c r="H250" s="9" t="n">
        <x:v>3</x:v>
      </x:c>
      <x:c r="I250" s="8" t="str">
        <x:v>body; head; tail</x:v>
      </x:c>
      <x:c r="J250" s="8" t="str"/>
    </x:row>
    <x:row r="251" ht="68" customHeight="1">
      <x:c r="A251" s="2" t="str">
        <x:v>SINE</x:v>
      </x:c>
      <x:c r="B251" s="2" t="str">
        <x:v>SEQ-095</x:v>
      </x:c>
      <x:c r="C251" s="2" t="str">
        <x:v>YoungSINE S</x:v>
      </x:c>
      <x:c r="D251" s="8" t="str">
        <x:v>Consenso/representante</x:v>
      </x:c>
      <x:c r="E251" s="8" t="str">
        <x:v>S44</x:v>
      </x:c>
      <x:c r="F251" s="9" t="n">
        <x:v>1</x:v>
      </x:c>
      <x:c r="G251" s="9" t="n">
        <x:v>0</x:v>
      </x:c>
      <x:c r="H251" s="9" t="n">
        <x:v>3</x:v>
      </x:c>
      <x:c r="I251" s="8" t="str">
        <x:v>body; head; tail</x:v>
      </x:c>
      <x:c r="J251" s="8" t="str"/>
    </x:row>
    <x:row r="252" ht="68" customHeight="1">
      <x:c r="A252" s="2" t="str">
        <x:v>SINE</x:v>
      </x:c>
      <x:c r="B252" s="2" t="str">
        <x:v>SEQ-096</x:v>
      </x:c>
      <x:c r="C252" s="2" t="str">
        <x:v>YoungSINE S</x:v>
      </x:c>
      <x:c r="D252" s="8" t="str">
        <x:v>Consenso/representante</x:v>
      </x:c>
      <x:c r="E252" s="8" t="str">
        <x:v>S45</x:v>
      </x:c>
      <x:c r="F252" s="9" t="n">
        <x:v>1</x:v>
      </x:c>
      <x:c r="G252" s="9" t="n">
        <x:v>0</x:v>
      </x:c>
      <x:c r="H252" s="9" t="n">
        <x:v>3</x:v>
      </x:c>
      <x:c r="I252" s="8" t="str">
        <x:v>body; head; tail</x:v>
      </x:c>
      <x:c r="J252" s="8" t="str"/>
    </x:row>
    <x:row r="253" ht="68" customHeight="1">
      <x:c r="A253" s="2" t="str">
        <x:v>SINE</x:v>
      </x:c>
      <x:c r="B253" s="2" t="str">
        <x:v>SEQ-097</x:v>
      </x:c>
      <x:c r="C253" s="2" t="str">
        <x:v>YoungSINE S</x:v>
      </x:c>
      <x:c r="D253" s="8" t="str">
        <x:v>Consenso/representante</x:v>
      </x:c>
      <x:c r="E253" s="8" t="str">
        <x:v>S46</x:v>
      </x:c>
      <x:c r="F253" s="9" t="n">
        <x:v>1</x:v>
      </x:c>
      <x:c r="G253" s="9" t="n">
        <x:v>0</x:v>
      </x:c>
      <x:c r="H253" s="9" t="n">
        <x:v>3</x:v>
      </x:c>
      <x:c r="I253" s="8" t="str">
        <x:v>body; head; tail</x:v>
      </x:c>
      <x:c r="J253" s="8" t="str"/>
    </x:row>
    <x:row r="254" ht="68" customHeight="1">
      <x:c r="A254" s="2" t="str">
        <x:v>SINE</x:v>
      </x:c>
      <x:c r="B254" s="2" t="str">
        <x:v>SEQ-098</x:v>
      </x:c>
      <x:c r="C254" s="2" t="str">
        <x:v>YoungSINE S</x:v>
      </x:c>
      <x:c r="D254" s="8" t="str">
        <x:v>Consenso/representante</x:v>
      </x:c>
      <x:c r="E254" s="8" t="str">
        <x:v>S47</x:v>
      </x:c>
      <x:c r="F254" s="9" t="n">
        <x:v>1</x:v>
      </x:c>
      <x:c r="G254" s="9" t="n">
        <x:v>0</x:v>
      </x:c>
      <x:c r="H254" s="9" t="n">
        <x:v>3</x:v>
      </x:c>
      <x:c r="I254" s="8" t="str">
        <x:v>body; head; tail</x:v>
      </x:c>
      <x:c r="J254" s="8" t="str"/>
    </x:row>
    <x:row r="255" ht="68" customHeight="1">
      <x:c r="A255" s="2" t="str">
        <x:v>SINE</x:v>
      </x:c>
      <x:c r="B255" s="2" t="str">
        <x:v>SEQ-099</x:v>
      </x:c>
      <x:c r="C255" s="2" t="str">
        <x:v>YoungSINE S</x:v>
      </x:c>
      <x:c r="D255" s="8" t="str">
        <x:v>Consenso/representante</x:v>
      </x:c>
      <x:c r="E255" s="8" t="str">
        <x:v>S48</x:v>
      </x:c>
      <x:c r="F255" s="9" t="n">
        <x:v>1</x:v>
      </x:c>
      <x:c r="G255" s="9" t="n">
        <x:v>0</x:v>
      </x:c>
      <x:c r="H255" s="9" t="n">
        <x:v>3</x:v>
      </x:c>
      <x:c r="I255" s="8" t="str">
        <x:v>body; head; tail</x:v>
      </x:c>
      <x:c r="J255" s="8" t="str"/>
    </x:row>
    <x:row r="256" ht="68" customHeight="1">
      <x:c r="A256" s="2" t="str">
        <x:v>SINE</x:v>
      </x:c>
      <x:c r="B256" s="2" t="str">
        <x:v>SEQ-100</x:v>
      </x:c>
      <x:c r="C256" s="2" t="str">
        <x:v>YoungSINE S</x:v>
      </x:c>
      <x:c r="D256" s="8" t="str">
        <x:v>Consenso/representante</x:v>
      </x:c>
      <x:c r="E256" s="8" t="str">
        <x:v>S49</x:v>
      </x:c>
      <x:c r="F256" s="9" t="n">
        <x:v>1</x:v>
      </x:c>
      <x:c r="G256" s="9" t="n">
        <x:v>0</x:v>
      </x:c>
      <x:c r="H256" s="9" t="n">
        <x:v>3</x:v>
      </x:c>
      <x:c r="I256" s="8" t="str">
        <x:v>body; head; tail</x:v>
      </x:c>
      <x:c r="J256" s="8" t="str"/>
    </x:row>
    <x:row r="257" ht="68" customHeight="1">
      <x:c r="A257" s="2" t="str">
        <x:v>SINE</x:v>
      </x:c>
      <x:c r="B257" s="2" t="str">
        <x:v>SEQ-101</x:v>
      </x:c>
      <x:c r="C257" s="2" t="str">
        <x:v>YoungSINE S</x:v>
      </x:c>
      <x:c r="D257" s="8" t="str">
        <x:v>Consenso/representante</x:v>
      </x:c>
      <x:c r="E257" s="8" t="str">
        <x:v>S50</x:v>
      </x:c>
      <x:c r="F257" s="9" t="n">
        <x:v>1</x:v>
      </x:c>
      <x:c r="G257" s="9" t="n">
        <x:v>0</x:v>
      </x:c>
      <x:c r="H257" s="9" t="n">
        <x:v>3</x:v>
      </x:c>
      <x:c r="I257" s="8" t="str">
        <x:v>body; head; tail</x:v>
      </x:c>
      <x:c r="J257" s="8" t="str"/>
    </x:row>
    <x:row r="258" ht="68" customHeight="1">
      <x:c r="A258" s="2" t="str">
        <x:v>SINE</x:v>
      </x:c>
      <x:c r="B258" s="2" t="str">
        <x:v>SEQ-102</x:v>
      </x:c>
      <x:c r="C258" s="2" t="str">
        <x:v>YoungSINE S</x:v>
      </x:c>
      <x:c r="D258" s="8" t="str">
        <x:v>Consenso/representante</x:v>
      </x:c>
      <x:c r="E258" s="8" t="str">
        <x:v>S51</x:v>
      </x:c>
      <x:c r="F258" s="9" t="n">
        <x:v>1</x:v>
      </x:c>
      <x:c r="G258" s="9" t="n">
        <x:v>0</x:v>
      </x:c>
      <x:c r="H258" s="9" t="n">
        <x:v>3</x:v>
      </x:c>
      <x:c r="I258" s="8" t="str">
        <x:v>body; head; tail</x:v>
      </x:c>
      <x:c r="J258" s="8" t="str"/>
    </x:row>
    <x:row r="259" ht="68" customHeight="1">
      <x:c r="A259" s="2" t="str">
        <x:v>SINE</x:v>
      </x:c>
      <x:c r="B259" s="2" t="str">
        <x:v>SEQ-103</x:v>
      </x:c>
      <x:c r="C259" s="2" t="str">
        <x:v>YoungSINE S</x:v>
      </x:c>
      <x:c r="D259" s="8" t="str">
        <x:v>Consenso/representante</x:v>
      </x:c>
      <x:c r="E259" s="8" t="str">
        <x:v>S52</x:v>
      </x:c>
      <x:c r="F259" s="9" t="n">
        <x:v>1</x:v>
      </x:c>
      <x:c r="G259" s="9" t="n">
        <x:v>0</x:v>
      </x:c>
      <x:c r="H259" s="9" t="n">
        <x:v>3</x:v>
      </x:c>
      <x:c r="I259" s="8" t="str">
        <x:v>body; head; tail</x:v>
      </x:c>
      <x:c r="J259" s="8" t="str"/>
    </x:row>
    <x:row r="260" ht="68" customHeight="1">
      <x:c r="A260" s="2" t="str">
        <x:v>SINE</x:v>
      </x:c>
      <x:c r="B260" s="2" t="str">
        <x:v>SEQ-104</x:v>
      </x:c>
      <x:c r="C260" s="2" t="str">
        <x:v>YoungSINE S</x:v>
      </x:c>
      <x:c r="D260" s="8" t="str">
        <x:v>Consenso/representante</x:v>
      </x:c>
      <x:c r="E260" s="8" t="str">
        <x:v>S53</x:v>
      </x:c>
      <x:c r="F260" s="9" t="n">
        <x:v>1</x:v>
      </x:c>
      <x:c r="G260" s="9" t="n">
        <x:v>0</x:v>
      </x:c>
      <x:c r="H260" s="9" t="n">
        <x:v>3</x:v>
      </x:c>
      <x:c r="I260" s="8" t="str">
        <x:v>body; head; tail</x:v>
      </x:c>
      <x:c r="J260" s="8" t="str"/>
    </x:row>
    <x:row r="261" ht="68" customHeight="1">
      <x:c r="A261" s="2" t="str">
        <x:v>SINE</x:v>
      </x:c>
      <x:c r="B261" s="2" t="str">
        <x:v>SEQ-105</x:v>
      </x:c>
      <x:c r="C261" s="2" t="str">
        <x:v>YoungSINE S</x:v>
      </x:c>
      <x:c r="D261" s="8" t="str">
        <x:v>Consenso/representante</x:v>
      </x:c>
      <x:c r="E261" s="8" t="str">
        <x:v>S54</x:v>
      </x:c>
      <x:c r="F261" s="9" t="n">
        <x:v>1</x:v>
      </x:c>
      <x:c r="G261" s="9" t="n">
        <x:v>0</x:v>
      </x:c>
      <x:c r="H261" s="9" t="n">
        <x:v>3</x:v>
      </x:c>
      <x:c r="I261" s="8" t="str">
        <x:v>body; head; tail</x:v>
      </x:c>
      <x:c r="J261" s="8" t="str"/>
    </x:row>
    <x:row r="262" ht="68" customHeight="1">
      <x:c r="A262" s="2" t="str">
        <x:v>SINE</x:v>
      </x:c>
      <x:c r="B262" s="2" t="str">
        <x:v>SEQ-106</x:v>
      </x:c>
      <x:c r="C262" s="2" t="str">
        <x:v>YoungSINE S</x:v>
      </x:c>
      <x:c r="D262" s="8" t="str">
        <x:v>Consenso/representante</x:v>
      </x:c>
      <x:c r="E262" s="8" t="str">
        <x:v>S55</x:v>
      </x:c>
      <x:c r="F262" s="9" t="n">
        <x:v>1</x:v>
      </x:c>
      <x:c r="G262" s="9" t="n">
        <x:v>0</x:v>
      </x:c>
      <x:c r="H262" s="9" t="n">
        <x:v>3</x:v>
      </x:c>
      <x:c r="I262" s="8" t="str">
        <x:v>body; head; tail</x:v>
      </x:c>
      <x:c r="J262" s="8" t="str"/>
    </x:row>
    <x:row r="263" ht="68" customHeight="1">
      <x:c r="A263" s="2" t="str">
        <x:v>SINE</x:v>
      </x:c>
      <x:c r="B263" s="2" t="str">
        <x:v>SEQ-107</x:v>
      </x:c>
      <x:c r="C263" s="2" t="str">
        <x:v>YoungSINE S</x:v>
      </x:c>
      <x:c r="D263" s="8" t="str">
        <x:v>Consenso/representante</x:v>
      </x:c>
      <x:c r="E263" s="8" t="str">
        <x:v>S56</x:v>
      </x:c>
      <x:c r="F263" s="9" t="n">
        <x:v>1</x:v>
      </x:c>
      <x:c r="G263" s="9" t="n">
        <x:v>0</x:v>
      </x:c>
      <x:c r="H263" s="9" t="n">
        <x:v>3</x:v>
      </x:c>
      <x:c r="I263" s="8" t="str">
        <x:v>body; head; tail</x:v>
      </x:c>
      <x:c r="J263" s="8" t="str"/>
    </x:row>
    <x:row r="264" ht="68" customHeight="1">
      <x:c r="A264" s="2" t="str">
        <x:v>SINE</x:v>
      </x:c>
      <x:c r="B264" s="2" t="str">
        <x:v>SEQ-108</x:v>
      </x:c>
      <x:c r="C264" s="2" t="str">
        <x:v>YoungSINE S</x:v>
      </x:c>
      <x:c r="D264" s="8" t="str">
        <x:v>Consenso/representante</x:v>
      </x:c>
      <x:c r="E264" s="8" t="str">
        <x:v>S57</x:v>
      </x:c>
      <x:c r="F264" s="9" t="n">
        <x:v>1</x:v>
      </x:c>
      <x:c r="G264" s="9" t="n">
        <x:v>0</x:v>
      </x:c>
      <x:c r="H264" s="9" t="n">
        <x:v>3</x:v>
      </x:c>
      <x:c r="I264" s="8" t="str">
        <x:v>body; head; tail</x:v>
      </x:c>
      <x:c r="J264" s="8" t="str"/>
    </x:row>
    <x:row r="265" ht="68" customHeight="1">
      <x:c r="A265" s="2" t="str">
        <x:v>SINE</x:v>
      </x:c>
      <x:c r="B265" s="2" t="str">
        <x:v>SEQ-109</x:v>
      </x:c>
      <x:c r="C265" s="2" t="str">
        <x:v>YoungSINE S</x:v>
      </x:c>
      <x:c r="D265" s="8" t="str">
        <x:v>Consenso/representante</x:v>
      </x:c>
      <x:c r="E265" s="8" t="str">
        <x:v>S58</x:v>
      </x:c>
      <x:c r="F265" s="9" t="n">
        <x:v>1</x:v>
      </x:c>
      <x:c r="G265" s="9" t="n">
        <x:v>0</x:v>
      </x:c>
      <x:c r="H265" s="9" t="n">
        <x:v>3</x:v>
      </x:c>
      <x:c r="I265" s="8" t="str">
        <x:v>body; head; tail</x:v>
      </x:c>
      <x:c r="J265" s="8" t="str"/>
    </x:row>
    <x:row r="266" ht="68" customHeight="1">
      <x:c r="A266" s="2" t="str">
        <x:v>SINE</x:v>
      </x:c>
      <x:c r="B266" s="2" t="str">
        <x:v>SEQ-110</x:v>
      </x:c>
      <x:c r="C266" s="2" t="str">
        <x:v>YoungSINE S</x:v>
      </x:c>
      <x:c r="D266" s="8" t="str">
        <x:v>Consenso/representante</x:v>
      </x:c>
      <x:c r="E266" s="8" t="str">
        <x:v>S59</x:v>
      </x:c>
      <x:c r="F266" s="9" t="n">
        <x:v>1</x:v>
      </x:c>
      <x:c r="G266" s="9" t="n">
        <x:v>0</x:v>
      </x:c>
      <x:c r="H266" s="9" t="n">
        <x:v>3</x:v>
      </x:c>
      <x:c r="I266" s="8" t="str">
        <x:v>body; head; tail</x:v>
      </x:c>
      <x:c r="J266" s="8" t="str"/>
    </x:row>
    <x:row r="267" ht="68" customHeight="1">
      <x:c r="A267" s="2" t="str">
        <x:v>SINE</x:v>
      </x:c>
      <x:c r="B267" s="2" t="str">
        <x:v>SEQ-111</x:v>
      </x:c>
      <x:c r="C267" s="2" t="str">
        <x:v>YoungSINE S</x:v>
      </x:c>
      <x:c r="D267" s="8" t="str">
        <x:v>Consenso/representante</x:v>
      </x:c>
      <x:c r="E267" s="8" t="str">
        <x:v>S60</x:v>
      </x:c>
      <x:c r="F267" s="9" t="n">
        <x:v>1</x:v>
      </x:c>
      <x:c r="G267" s="9" t="n">
        <x:v>0</x:v>
      </x:c>
      <x:c r="H267" s="9" t="n">
        <x:v>3</x:v>
      </x:c>
      <x:c r="I267" s="8" t="str">
        <x:v>body; head; tail</x:v>
      </x:c>
      <x:c r="J267" s="8" t="str"/>
    </x:row>
    <x:row r="268" ht="68" customHeight="1">
      <x:c r="A268" s="2" t="str">
        <x:v>SINE</x:v>
      </x:c>
      <x:c r="B268" s="2" t="str">
        <x:v>SEQ-112</x:v>
      </x:c>
      <x:c r="C268" s="2" t="str">
        <x:v>YoungSINE S</x:v>
      </x:c>
      <x:c r="D268" s="8" t="str">
        <x:v>Consenso/representante</x:v>
      </x:c>
      <x:c r="E268" s="8" t="str">
        <x:v>S61</x:v>
      </x:c>
      <x:c r="F268" s="9" t="n">
        <x:v>1</x:v>
      </x:c>
      <x:c r="G268" s="9" t="n">
        <x:v>0</x:v>
      </x:c>
      <x:c r="H268" s="9" t="n">
        <x:v>3</x:v>
      </x:c>
      <x:c r="I268" s="8" t="str">
        <x:v>body; head; tail</x:v>
      </x:c>
      <x:c r="J268" s="8" t="str"/>
    </x:row>
    <x:row r="269" ht="68" customHeight="1">
      <x:c r="A269" s="2" t="str">
        <x:v>SINE</x:v>
      </x:c>
      <x:c r="B269" s="2" t="str">
        <x:v>SINEA1</x:v>
      </x:c>
      <x:c r="C269" s="2" t="str">
        <x:v>SINEA</x:v>
      </x:c>
      <x:c r="D269" s="8" t="str">
        <x:v>Consenso/representante</x:v>
      </x:c>
      <x:c r="E269" s="8" t="str">
        <x:v>SINEA1</x:v>
      </x:c>
      <x:c r="F269" s="9" t="n">
        <x:v>1</x:v>
      </x:c>
      <x:c r="G269" s="9" t="n">
        <x:v>1</x:v>
      </x:c>
      <x:c r="H269" s="9" t="n">
        <x:v>6</x:v>
      </x:c>
      <x:c r="I269" s="8" t="str">
        <x:v>body; completas_fornecidas; core_sem_polyA; head; tail</x:v>
      </x:c>
      <x:c r="J269" s="8" t="str"/>
    </x:row>
    <x:row r="270" ht="68" customHeight="1">
      <x:c r="A270" s="2" t="str">
        <x:v>SINE</x:v>
      </x:c>
      <x:c r="B270" s="2" t="str">
        <x:v>SINEA10</x:v>
      </x:c>
      <x:c r="C270" s="2" t="str">
        <x:v>SINEA</x:v>
      </x:c>
      <x:c r="D270" s="8" t="str">
        <x:v>Consenso/representante</x:v>
      </x:c>
      <x:c r="E270" s="8" t="str">
        <x:v>SINEA10</x:v>
      </x:c>
      <x:c r="F270" s="9" t="n">
        <x:v>1</x:v>
      </x:c>
      <x:c r="G270" s="9" t="n">
        <x:v>1</x:v>
      </x:c>
      <x:c r="H270" s="9" t="n">
        <x:v>6</x:v>
      </x:c>
      <x:c r="I270" s="8" t="str">
        <x:v>body; completas_fornecidas; core_sem_polyA; head; tail</x:v>
      </x:c>
      <x:c r="J270" s="8" t="str"/>
    </x:row>
    <x:row r="271" ht="68" customHeight="1">
      <x:c r="A271" s="2" t="str">
        <x:v>SINE</x:v>
      </x:c>
      <x:c r="B271" s="2" t="str">
        <x:v>SINEA11</x:v>
      </x:c>
      <x:c r="C271" s="2" t="str">
        <x:v>SINEA</x:v>
      </x:c>
      <x:c r="D271" s="8" t="str">
        <x:v>Consenso/representante</x:v>
      </x:c>
      <x:c r="E271" s="8" t="str">
        <x:v>SINEA11</x:v>
      </x:c>
      <x:c r="F271" s="9" t="n">
        <x:v>1</x:v>
      </x:c>
      <x:c r="G271" s="9" t="n">
        <x:v>1</x:v>
      </x:c>
      <x:c r="H271" s="9" t="n">
        <x:v>5</x:v>
      </x:c>
      <x:c r="I271" s="8" t="str">
        <x:v>body; completas_fornecidas; core_sem_polyA; head; tail</x:v>
      </x:c>
      <x:c r="J271" s="8" t="str"/>
    </x:row>
    <x:row r="272" ht="68" customHeight="1">
      <x:c r="A272" s="2" t="str">
        <x:v>SINE</x:v>
      </x:c>
      <x:c r="B272" s="2" t="str">
        <x:v>SINEA2</x:v>
      </x:c>
      <x:c r="C272" s="2" t="str">
        <x:v>SINEA</x:v>
      </x:c>
      <x:c r="D272" s="8" t="str">
        <x:v>Consenso/representante</x:v>
      </x:c>
      <x:c r="E272" s="8" t="str">
        <x:v>SINEA2</x:v>
      </x:c>
      <x:c r="F272" s="9" t="n">
        <x:v>1</x:v>
      </x:c>
      <x:c r="G272" s="9" t="n">
        <x:v>1</x:v>
      </x:c>
      <x:c r="H272" s="9" t="n">
        <x:v>5</x:v>
      </x:c>
      <x:c r="I272" s="8" t="str">
        <x:v>body; completas_fornecidas; core_sem_polyA; head; tail</x:v>
      </x:c>
      <x:c r="J272" s="8" t="str"/>
    </x:row>
    <x:row r="273" ht="68" customHeight="1">
      <x:c r="A273" s="2" t="str">
        <x:v>SINE</x:v>
      </x:c>
      <x:c r="B273" s="2" t="str">
        <x:v>SINEA3</x:v>
      </x:c>
      <x:c r="C273" s="2" t="str">
        <x:v>SINEA</x:v>
      </x:c>
      <x:c r="D273" s="8" t="str">
        <x:v>Consenso/representante</x:v>
      </x:c>
      <x:c r="E273" s="8" t="str">
        <x:v>SINEA3</x:v>
      </x:c>
      <x:c r="F273" s="9" t="n">
        <x:v>1</x:v>
      </x:c>
      <x:c r="G273" s="9" t="n">
        <x:v>1</x:v>
      </x:c>
      <x:c r="H273" s="9" t="n">
        <x:v>5</x:v>
      </x:c>
      <x:c r="I273" s="8" t="str">
        <x:v>body; completas_fornecidas; core_sem_polyA; head; tail</x:v>
      </x:c>
      <x:c r="J273" s="8" t="str"/>
    </x:row>
    <x:row r="274" ht="68" customHeight="1">
      <x:c r="A274" s="2" t="str">
        <x:v>SINE</x:v>
      </x:c>
      <x:c r="B274" s="2" t="str">
        <x:v>SINEA4</x:v>
      </x:c>
      <x:c r="C274" s="2" t="str">
        <x:v>SINEA</x:v>
      </x:c>
      <x:c r="D274" s="8" t="str">
        <x:v>Consenso/representante</x:v>
      </x:c>
      <x:c r="E274" s="8" t="str">
        <x:v>SINEA4</x:v>
      </x:c>
      <x:c r="F274" s="9" t="n">
        <x:v>1</x:v>
      </x:c>
      <x:c r="G274" s="9" t="n">
        <x:v>1</x:v>
      </x:c>
      <x:c r="H274" s="9" t="n">
        <x:v>5</x:v>
      </x:c>
      <x:c r="I274" s="8" t="str">
        <x:v>body; completas_fornecidas; core_sem_polyA; head; tail</x:v>
      </x:c>
      <x:c r="J274" s="8" t="str"/>
    </x:row>
    <x:row r="275" ht="68" customHeight="1">
      <x:c r="A275" s="2" t="str">
        <x:v>SINE</x:v>
      </x:c>
      <x:c r="B275" s="2" t="str">
        <x:v>SINEA5</x:v>
      </x:c>
      <x:c r="C275" s="2" t="str">
        <x:v>SINEA</x:v>
      </x:c>
      <x:c r="D275" s="8" t="str">
        <x:v>Consenso/representante</x:v>
      </x:c>
      <x:c r="E275" s="8" t="str">
        <x:v>SINEA5</x:v>
      </x:c>
      <x:c r="F275" s="9" t="n">
        <x:v>1</x:v>
      </x:c>
      <x:c r="G275" s="9" t="n">
        <x:v>1</x:v>
      </x:c>
      <x:c r="H275" s="9" t="n">
        <x:v>5</x:v>
      </x:c>
      <x:c r="I275" s="8" t="str">
        <x:v>body; completas_fornecidas; core_sem_polyA; head; tail</x:v>
      </x:c>
      <x:c r="J275" s="8" t="str"/>
    </x:row>
    <x:row r="276" ht="68" customHeight="1">
      <x:c r="A276" s="2" t="str">
        <x:v>SINE</x:v>
      </x:c>
      <x:c r="B276" s="2" t="str">
        <x:v>SINEA6</x:v>
      </x:c>
      <x:c r="C276" s="2" t="str">
        <x:v>SINEA</x:v>
      </x:c>
      <x:c r="D276" s="8" t="str">
        <x:v>Consenso/representante</x:v>
      </x:c>
      <x:c r="E276" s="8" t="str">
        <x:v>SINEA6</x:v>
      </x:c>
      <x:c r="F276" s="9" t="n">
        <x:v>1</x:v>
      </x:c>
      <x:c r="G276" s="9" t="n">
        <x:v>1</x:v>
      </x:c>
      <x:c r="H276" s="9" t="n">
        <x:v>6</x:v>
      </x:c>
      <x:c r="I276" s="8" t="str">
        <x:v>body; completas_fornecidas; core_sem_polyA; head; tail</x:v>
      </x:c>
      <x:c r="J276" s="8" t="str"/>
    </x:row>
    <x:row r="277" ht="68" customHeight="1">
      <x:c r="A277" s="2" t="str">
        <x:v>SINE</x:v>
      </x:c>
      <x:c r="B277" s="2" t="str">
        <x:v>SINEA7</x:v>
      </x:c>
      <x:c r="C277" s="2" t="str">
        <x:v>SINEA</x:v>
      </x:c>
      <x:c r="D277" s="8" t="str">
        <x:v>Consenso/representante</x:v>
      </x:c>
      <x:c r="E277" s="8" t="str">
        <x:v>SINEA7</x:v>
      </x:c>
      <x:c r="F277" s="9" t="n">
        <x:v>1</x:v>
      </x:c>
      <x:c r="G277" s="9" t="n">
        <x:v>1</x:v>
      </x:c>
      <x:c r="H277" s="9" t="n">
        <x:v>5</x:v>
      </x:c>
      <x:c r="I277" s="8" t="str">
        <x:v>body; completas_fornecidas; core_sem_polyA; head; tail</x:v>
      </x:c>
      <x:c r="J277" s="8" t="str"/>
    </x:row>
    <x:row r="278" ht="68" customHeight="1">
      <x:c r="A278" s="2" t="str">
        <x:v>SINE</x:v>
      </x:c>
      <x:c r="B278" s="2" t="str">
        <x:v>SINEA8</x:v>
      </x:c>
      <x:c r="C278" s="2" t="str">
        <x:v>SINEA</x:v>
      </x:c>
      <x:c r="D278" s="8" t="str">
        <x:v>Consenso/representante</x:v>
      </x:c>
      <x:c r="E278" s="8" t="str">
        <x:v>SINEA8</x:v>
      </x:c>
      <x:c r="F278" s="9" t="n">
        <x:v>1</x:v>
      </x:c>
      <x:c r="G278" s="9" t="n">
        <x:v>1</x:v>
      </x:c>
      <x:c r="H278" s="9" t="n">
        <x:v>5</x:v>
      </x:c>
      <x:c r="I278" s="8" t="str">
        <x:v>body; completas_fornecidas; core_sem_polyA; head; tail</x:v>
      </x:c>
      <x:c r="J278" s="8" t="str"/>
    </x:row>
    <x:row r="279" ht="68" customHeight="1">
      <x:c r="A279" s="2" t="str">
        <x:v>SINE</x:v>
      </x:c>
      <x:c r="B279" s="2" t="str">
        <x:v>SINEA9</x:v>
      </x:c>
      <x:c r="C279" s="2" t="str">
        <x:v>SINEA</x:v>
      </x:c>
      <x:c r="D279" s="8" t="str">
        <x:v>Consenso/representante</x:v>
      </x:c>
      <x:c r="E279" s="8" t="str">
        <x:v>SINEA9</x:v>
      </x:c>
      <x:c r="F279" s="9" t="n">
        <x:v>1</x:v>
      </x:c>
      <x:c r="G279" s="9" t="n">
        <x:v>1</x:v>
      </x:c>
      <x:c r="H279" s="9" t="n">
        <x:v>6</x:v>
      </x:c>
      <x:c r="I279" s="8" t="str">
        <x:v>body; completas_fornecidas; core_sem_polyA; head; tail</x:v>
      </x:c>
      <x:c r="J279" s="8" t="str"/>
    </x:row>
    <x:row r="280" ht="68" customHeight="1">
      <x:c r="A280" s="2" t="str">
        <x:v>SINE</x:v>
      </x:c>
      <x:c r="B280" s="2" t="str">
        <x:v>SINEB1</x:v>
      </x:c>
      <x:c r="C280" s="2" t="str">
        <x:v>SINEB</x:v>
      </x:c>
      <x:c r="D280" s="8" t="str">
        <x:v>Consenso/representante</x:v>
      </x:c>
      <x:c r="E280" s="8" t="str">
        <x:v>SINEB1</x:v>
      </x:c>
      <x:c r="F280" s="9" t="n">
        <x:v>1</x:v>
      </x:c>
      <x:c r="G280" s="9" t="n">
        <x:v>1</x:v>
      </x:c>
      <x:c r="H280" s="9" t="n">
        <x:v>5</x:v>
      </x:c>
      <x:c r="I280" s="8" t="str">
        <x:v>body; completas_fornecidas; core_sem_polyA; head; tail</x:v>
      </x:c>
      <x:c r="J280" s="8" t="str"/>
    </x:row>
    <x:row r="281" ht="68" customHeight="1">
      <x:c r="A281" s="2" t="str">
        <x:v>SINE</x:v>
      </x:c>
      <x:c r="B281" s="2" t="str">
        <x:v>SINEB2</x:v>
      </x:c>
      <x:c r="C281" s="2" t="str">
        <x:v>SINEB</x:v>
      </x:c>
      <x:c r="D281" s="8" t="str">
        <x:v>Consenso/representante</x:v>
      </x:c>
      <x:c r="E281" s="8" t="str">
        <x:v>SINEB2</x:v>
      </x:c>
      <x:c r="F281" s="9" t="n">
        <x:v>1</x:v>
      </x:c>
      <x:c r="G281" s="9" t="n">
        <x:v>1</x:v>
      </x:c>
      <x:c r="H281" s="9" t="n">
        <x:v>6</x:v>
      </x:c>
      <x:c r="I281" s="8" t="str">
        <x:v>body; completas_fornecidas; core_sem_polyA; head; tail</x:v>
      </x:c>
      <x:c r="J281" s="8" t="str"/>
    </x:row>
    <x:row r="282" ht="68" customHeight="1">
      <x:c r="A282" s="2" t="str">
        <x:v>SINE</x:v>
      </x:c>
      <x:c r="B282" s="2" t="str">
        <x:v>SINEB3</x:v>
      </x:c>
      <x:c r="C282" s="2" t="str">
        <x:v>SINEB</x:v>
      </x:c>
      <x:c r="D282" s="8" t="str">
        <x:v>Consenso/representante</x:v>
      </x:c>
      <x:c r="E282" s="8" t="str">
        <x:v>SINEB3</x:v>
      </x:c>
      <x:c r="F282" s="9" t="n">
        <x:v>1</x:v>
      </x:c>
      <x:c r="G282" s="9" t="n">
        <x:v>1</x:v>
      </x:c>
      <x:c r="H282" s="9" t="n">
        <x:v>4</x:v>
      </x:c>
      <x:c r="I282" s="8" t="str">
        <x:v>completas_fornecidas; core_sem_polyA; nao_separadas; tail</x:v>
      </x:c>
      <x:c r="J282" s="8" t="str"/>
    </x:row>
    <x:row r="283" ht="68" customHeight="1">
      <x:c r="A283" s="2" t="str">
        <x:v>SINE</x:v>
      </x:c>
      <x:c r="B283" s="2" t="str">
        <x:v>SINEB4</x:v>
      </x:c>
      <x:c r="C283" s="2" t="str">
        <x:v>SINEB</x:v>
      </x:c>
      <x:c r="D283" s="8" t="str">
        <x:v>Consenso/representante</x:v>
      </x:c>
      <x:c r="E283" s="8" t="str">
        <x:v>SINEB4</x:v>
      </x:c>
      <x:c r="F283" s="9" t="n">
        <x:v>1</x:v>
      </x:c>
      <x:c r="G283" s="9" t="n">
        <x:v>1</x:v>
      </x:c>
      <x:c r="H283" s="9" t="n">
        <x:v>6</x:v>
      </x:c>
      <x:c r="I283" s="8" t="str">
        <x:v>body; completas_fornecidas; core_sem_polyA; head; tail</x:v>
      </x:c>
      <x:c r="J283" s="8" t="str"/>
    </x:row>
    <x:row r="284" ht="68" customHeight="1">
      <x:c r="A284" s="2" t="str">
        <x:v>SINE</x:v>
      </x:c>
      <x:c r="B284" s="2" t="str">
        <x:v>SINEB5</x:v>
      </x:c>
      <x:c r="C284" s="2" t="str">
        <x:v>SINEB</x:v>
      </x:c>
      <x:c r="D284" s="8" t="str">
        <x:v>Consenso/representante</x:v>
      </x:c>
      <x:c r="E284" s="8" t="str">
        <x:v>SINEB5</x:v>
      </x:c>
      <x:c r="F284" s="9" t="n">
        <x:v>1</x:v>
      </x:c>
      <x:c r="G284" s="9" t="n">
        <x:v>1</x:v>
      </x:c>
      <x:c r="H284" s="9" t="n">
        <x:v>6</x:v>
      </x:c>
      <x:c r="I284" s="8" t="str">
        <x:v>body; completas_fornecidas; core_sem_polyA; head; tail</x:v>
      </x:c>
      <x:c r="J284" s="8" t="str"/>
    </x:row>
    <x:row r="285" ht="68" customHeight="1">
      <x:c r="A285" s="2" t="str">
        <x:v>SINE</x:v>
      </x:c>
      <x:c r="B285" s="2" t="str">
        <x:v>SINEB6</x:v>
      </x:c>
      <x:c r="C285" s="2" t="str">
        <x:v>SINEB</x:v>
      </x:c>
      <x:c r="D285" s="8" t="str">
        <x:v>Consenso/representante</x:v>
      </x:c>
      <x:c r="E285" s="8" t="str">
        <x:v>SINEB6</x:v>
      </x:c>
      <x:c r="F285" s="9" t="n">
        <x:v>1</x:v>
      </x:c>
      <x:c r="G285" s="9" t="n">
        <x:v>1</x:v>
      </x:c>
      <x:c r="H285" s="9" t="n">
        <x:v>5</x:v>
      </x:c>
      <x:c r="I285" s="8" t="str">
        <x:v>body; completas_fornecidas; core_sem_polyA; head; tail</x:v>
      </x:c>
      <x:c r="J285" s="8" t="str"/>
    </x:row>
    <x:row r="286" ht="68" customHeight="1">
      <x:c r="A286" s="2" t="str">
        <x:v>SINE</x:v>
      </x:c>
      <x:c r="B286" s="2" t="str">
        <x:v>SINEC1</x:v>
      </x:c>
      <x:c r="C286" s="2" t="str">
        <x:v>SINEC</x:v>
      </x:c>
      <x:c r="D286" s="8" t="str">
        <x:v>Consenso/representante</x:v>
      </x:c>
      <x:c r="E286" s="8" t="str">
        <x:v>SINEC1</x:v>
      </x:c>
      <x:c r="F286" s="9" t="n">
        <x:v>1</x:v>
      </x:c>
      <x:c r="G286" s="9" t="n">
        <x:v>1</x:v>
      </x:c>
      <x:c r="H286" s="9" t="n">
        <x:v>4</x:v>
      </x:c>
      <x:c r="I286" s="8" t="str">
        <x:v>completas_fornecidas; core_sem_polyA; nao_separadas; tail</x:v>
      </x:c>
      <x:c r="J286" s="8" t="str"/>
    </x:row>
    <x:row r="287" ht="68" customHeight="1">
      <x:c r="A287" s="2" t="str">
        <x:v>SINE</x:v>
      </x:c>
      <x:c r="B287" s="2" t="str">
        <x:v>SINEC2</x:v>
      </x:c>
      <x:c r="C287" s="2" t="str">
        <x:v>SINEC</x:v>
      </x:c>
      <x:c r="D287" s="8" t="str">
        <x:v>Consenso/representante</x:v>
      </x:c>
      <x:c r="E287" s="8" t="str">
        <x:v>SINEC2</x:v>
      </x:c>
      <x:c r="F287" s="9" t="n">
        <x:v>1</x:v>
      </x:c>
      <x:c r="G287" s="9" t="n">
        <x:v>1</x:v>
      </x:c>
      <x:c r="H287" s="9" t="n">
        <x:v>3</x:v>
      </x:c>
      <x:c r="I287" s="8" t="str">
        <x:v>core_sem_polyA; nao_separadas; tail</x:v>
      </x:c>
      <x:c r="J287" s="8" t="str"/>
    </x:row>
    <x:row r="288" ht="68" customHeight="1">
      <x:c r="A288" s="2" t="str">
        <x:v>SINE</x:v>
      </x:c>
      <x:c r="B288" s="2" t="str">
        <x:v>SINEC3</x:v>
      </x:c>
      <x:c r="C288" s="2" t="str">
        <x:v>SINEC</x:v>
      </x:c>
      <x:c r="D288" s="8" t="str">
        <x:v>Consenso/representante</x:v>
      </x:c>
      <x:c r="E288" s="8" t="str">
        <x:v>SINEC3</x:v>
      </x:c>
      <x:c r="F288" s="9" t="n">
        <x:v>1</x:v>
      </x:c>
      <x:c r="G288" s="9" t="n">
        <x:v>1</x:v>
      </x:c>
      <x:c r="H288" s="9" t="n">
        <x:v>5</x:v>
      </x:c>
      <x:c r="I288" s="8" t="str">
        <x:v>body; completas_fornecidas; core_sem_polyA; head; tail</x:v>
      </x:c>
      <x:c r="J288" s="8" t="str"/>
    </x:row>
    <x:row r="289" ht="68" customHeight="1">
      <x:c r="A289" s="2" t="str">
        <x:v>SINE</x:v>
      </x:c>
      <x:c r="B289" s="2" t="str">
        <x:v>SINEC4</x:v>
      </x:c>
      <x:c r="C289" s="2" t="str">
        <x:v>SINEC</x:v>
      </x:c>
      <x:c r="D289" s="8" t="str">
        <x:v>Consenso/representante</x:v>
      </x:c>
      <x:c r="E289" s="8" t="str">
        <x:v>SINEC4</x:v>
      </x:c>
      <x:c r="F289" s="9" t="n">
        <x:v>1</x:v>
      </x:c>
      <x:c r="G289" s="9" t="n">
        <x:v>1</x:v>
      </x:c>
      <x:c r="H289" s="9" t="n">
        <x:v>5</x:v>
      </x:c>
      <x:c r="I289" s="8" t="str">
        <x:v>body; completas_fornecidas; core_sem_polyA; head; tail</x:v>
      </x:c>
      <x:c r="J289" s="8" t="str"/>
    </x:row>
    <x:row r="290" ht="68" customHeight="1">
      <x:c r="A290" s="2" t="str">
        <x:v>SINE</x:v>
      </x:c>
      <x:c r="B290" s="2" t="str">
        <x:v>SINEC5</x:v>
      </x:c>
      <x:c r="C290" s="2" t="str">
        <x:v>SINEC</x:v>
      </x:c>
      <x:c r="D290" s="8" t="str">
        <x:v>Consenso/representante</x:v>
      </x:c>
      <x:c r="E290" s="8" t="str">
        <x:v>SINEC5</x:v>
      </x:c>
      <x:c r="F290" s="9" t="n">
        <x:v>1</x:v>
      </x:c>
      <x:c r="G290" s="9" t="n">
        <x:v>1</x:v>
      </x:c>
      <x:c r="H290" s="9" t="n">
        <x:v>5</x:v>
      </x:c>
      <x:c r="I290" s="8" t="str">
        <x:v>body; completas_fornecidas; core_sem_polyA; head; tail</x:v>
      </x:c>
      <x:c r="J290" s="8" t="str"/>
    </x:row>
    <x:row r="291" ht="68" customHeight="1">
      <x:c r="A291" s="2" t="str">
        <x:v>SINE</x:v>
      </x:c>
      <x:c r="B291" s="2" t="str">
        <x:v>SINEC6</x:v>
      </x:c>
      <x:c r="C291" s="2" t="str">
        <x:v>SINEC</x:v>
      </x:c>
      <x:c r="D291" s="8" t="str">
        <x:v>Consenso/representante</x:v>
      </x:c>
      <x:c r="E291" s="8" t="str">
        <x:v>SINEC6</x:v>
      </x:c>
      <x:c r="F291" s="9" t="n">
        <x:v>1</x:v>
      </x:c>
      <x:c r="G291" s="9" t="n">
        <x:v>1</x:v>
      </x:c>
      <x:c r="H291" s="9" t="n">
        <x:v>3</x:v>
      </x:c>
      <x:c r="I291" s="8" t="str">
        <x:v>core_sem_polyA; nao_separadas; tail</x:v>
      </x:c>
      <x:c r="J291" s="8" t="str"/>
    </x:row>
    <x:row r="292" ht="68" customHeight="1">
      <x:c r="A292" s="2" t="str">
        <x:v>SINE</x:v>
      </x:c>
      <x:c r="B292" s="2" t="str">
        <x:v>SINEC7</x:v>
      </x:c>
      <x:c r="C292" s="2" t="str">
        <x:v>SINEC</x:v>
      </x:c>
      <x:c r="D292" s="8" t="str">
        <x:v>Consenso/representante</x:v>
      </x:c>
      <x:c r="E292" s="8" t="str">
        <x:v>SINEC7</x:v>
      </x:c>
      <x:c r="F292" s="9" t="n">
        <x:v>1</x:v>
      </x:c>
      <x:c r="G292" s="9" t="n">
        <x:v>1</x:v>
      </x:c>
      <x:c r="H292" s="9" t="n">
        <x:v>5</x:v>
      </x:c>
      <x:c r="I292" s="8" t="str">
        <x:v>body; completas_fornecidas; core_sem_polyA; head; tail</x:v>
      </x:c>
      <x:c r="J292" s="8" t="str"/>
    </x:row>
    <x:row r="293" ht="68" customHeight="1">
      <x:c r="A293" s="2" t="str">
        <x:v>SINE</x:v>
      </x:c>
      <x:c r="B293" s="2" t="str">
        <x:v>SINEC8</x:v>
      </x:c>
      <x:c r="C293" s="2" t="str">
        <x:v>SINEC</x:v>
      </x:c>
      <x:c r="D293" s="8" t="str">
        <x:v>Consenso/representante</x:v>
      </x:c>
      <x:c r="E293" s="8" t="str">
        <x:v>SINEC8</x:v>
      </x:c>
      <x:c r="F293" s="9" t="n">
        <x:v>1</x:v>
      </x:c>
      <x:c r="G293" s="9" t="n">
        <x:v>1</x:v>
      </x:c>
      <x:c r="H293" s="9" t="n">
        <x:v>6</x:v>
      </x:c>
      <x:c r="I293" s="8" t="str">
        <x:v>body; completas_fornecidas; core_sem_polyA; head; tail</x:v>
      </x:c>
      <x:c r="J293" s="8" t="str"/>
    </x:row>
    <x:row r="294" ht="68" customHeight="1">
      <x:c r="A294" s="2" t="str">
        <x:v>SINE</x:v>
      </x:c>
      <x:c r="B294" s="2" t="str">
        <x:v>Y00104</x:v>
      </x:c>
      <x:c r="C294" s="2" t="str">
        <x:v>PRE-1</x:v>
      </x:c>
      <x:c r="D294" s="8" t="str">
        <x:v>Acesso de sequência</x:v>
      </x:c>
      <x:c r="E294" s="8" t="str">
        <x:v>Y00104.1</x:v>
      </x:c>
      <x:c r="F294" s="9" t="n">
        <x:v>1</x:v>
      </x:c>
      <x:c r="G294" s="9" t="n">
        <x:v>0</x:v>
      </x:c>
      <x:c r="H294" s="9" t="n">
        <x:v>2</x:v>
      </x:c>
      <x:c r="I294" s="8" t="str">
        <x:v>body; head</x:v>
      </x:c>
      <x:c r="J294" s="8" t="str"/>
    </x:row>
    <x:row r="295" ht="68" customHeight="1">
      <x:c r="A295" s="2" t="str">
        <x:v>SINE_referencias</x:v>
      </x:c>
      <x:c r="B295" s="2" t="str">
        <x:v>AmnSINE1</x:v>
      </x:c>
      <x:c r="C295" s="2" t="str">
        <x:v>AmnSINE1</x:v>
      </x:c>
      <x:c r="D295" s="8" t="str">
        <x:v>Referência genérica; espécie não verificada</x:v>
      </x:c>
      <x:c r="E295" s="8" t="str">
        <x:v>AmnSINE1</x:v>
      </x:c>
      <x:c r="F295" s="9" t="n">
        <x:v>0</x:v>
      </x:c>
      <x:c r="G295" s="9" t="n">
        <x:v>1</x:v>
      </x:c>
      <x:c r="H295" s="9" t="n">
        <x:v>1</x:v>
      </x:c>
      <x:c r="I295" s="8" t="str">
        <x:v>completas_fornecidas</x:v>
      </x:c>
      <x:c r="J295" s="8" t="str"/>
    </x:row>
    <x:row r="296" ht="68" customHeight="1">
      <x:c r="A296" s="2" t="str">
        <x:v>SINE_referencias</x:v>
      </x:c>
      <x:c r="B296" s="2" t="str">
        <x:v>AmnSINE2</x:v>
      </x:c>
      <x:c r="C296" s="2" t="str">
        <x:v>AmnSINE2</x:v>
      </x:c>
      <x:c r="D296" s="8" t="str">
        <x:v>Referência genérica; espécie não verificada</x:v>
      </x:c>
      <x:c r="E296" s="8" t="str">
        <x:v>AmnSINE2</x:v>
      </x:c>
      <x:c r="F296" s="9" t="n">
        <x:v>0</x:v>
      </x:c>
      <x:c r="G296" s="9" t="n">
        <x:v>1</x:v>
      </x:c>
      <x:c r="H296" s="9" t="n">
        <x:v>1</x:v>
      </x:c>
      <x:c r="I296" s="8" t="str">
        <x:v>completas_fornecidas</x:v>
      </x:c>
      <x:c r="J296" s="8" t="str"/>
    </x:row>
    <x:row r="297" ht="68" customHeight="1">
      <x:c r="A297" s="2" t="str">
        <x:v>SINE_referencias</x:v>
      </x:c>
      <x:c r="B297" s="2" t="str">
        <x:v>CHR-1</x:v>
      </x:c>
      <x:c r="C297" s="2" t="str">
        <x:v>CHR-1</x:v>
      </x:c>
      <x:c r="D297" s="8" t="str">
        <x:v>Referência genérica; espécie não verificada</x:v>
      </x:c>
      <x:c r="E297" s="8" t="str">
        <x:v>CHR-1</x:v>
      </x:c>
      <x:c r="F297" s="9" t="n">
        <x:v>0</x:v>
      </x:c>
      <x:c r="G297" s="9" t="n">
        <x:v>1</x:v>
      </x:c>
      <x:c r="H297" s="9" t="n">
        <x:v>1</x:v>
      </x:c>
      <x:c r="I297" s="8" t="str">
        <x:v>completas_fornecidas</x:v>
      </x:c>
      <x:c r="J297" s="8" t="str"/>
    </x:row>
    <x:row r="298" ht="68" customHeight="1">
      <x:c r="A298" s="2" t="str">
        <x:v>SINE_referencias</x:v>
      </x:c>
      <x:c r="B298" s="2" t="str">
        <x:v>CHR-2</x:v>
      </x:c>
      <x:c r="C298" s="2" t="str">
        <x:v>CHR-2</x:v>
      </x:c>
      <x:c r="D298" s="8" t="str">
        <x:v>Referência genérica; espécie não verificada</x:v>
      </x:c>
      <x:c r="E298" s="8" t="str">
        <x:v>CHR-2</x:v>
      </x:c>
      <x:c r="F298" s="9" t="n">
        <x:v>0</x:v>
      </x:c>
      <x:c r="G298" s="9" t="n">
        <x:v>1</x:v>
      </x:c>
      <x:c r="H298" s="9" t="n">
        <x:v>1</x:v>
      </x:c>
      <x:c r="I298" s="8" t="str">
        <x:v>completas_fornecidas</x:v>
      </x:c>
      <x:c r="J298" s="8" t="str"/>
    </x:row>
    <x:row r="299" ht="68" customHeight="1">
      <x:c r="A299" s="2" t="str">
        <x:v>SINE_referencias</x:v>
      </x:c>
      <x:c r="B299" s="2" t="str">
        <x:v>CHRL</x:v>
      </x:c>
      <x:c r="C299" s="2" t="str">
        <x:v>CHRL</x:v>
      </x:c>
      <x:c r="D299" s="8" t="str">
        <x:v>Referência genérica; espécie não verificada</x:v>
      </x:c>
      <x:c r="E299" s="8" t="str">
        <x:v>CHRL</x:v>
      </x:c>
      <x:c r="F299" s="9" t="n">
        <x:v>0</x:v>
      </x:c>
      <x:c r="G299" s="9" t="n">
        <x:v>1</x:v>
      </x:c>
      <x:c r="H299" s="9" t="n">
        <x:v>1</x:v>
      </x:c>
      <x:c r="I299" s="8" t="str">
        <x:v>completas_fornecidas</x:v>
      </x:c>
      <x:c r="J299" s="8" t="str"/>
    </x:row>
    <x:row r="300" ht="68" customHeight="1">
      <x:c r="A300" s="2" t="str">
        <x:v>SINE_referencias</x:v>
      </x:c>
      <x:c r="B300" s="2" t="str">
        <x:v>CRP1</x:v>
      </x:c>
      <x:c r="C300" s="2" t="str">
        <x:v>CRP1</x:v>
      </x:c>
      <x:c r="D300" s="8" t="str">
        <x:v>Referência genérica; espécie não verificada</x:v>
      </x:c>
      <x:c r="E300" s="8" t="str">
        <x:v>CRP1</x:v>
      </x:c>
      <x:c r="F300" s="9" t="n">
        <x:v>0</x:v>
      </x:c>
      <x:c r="G300" s="9" t="n">
        <x:v>1</x:v>
      </x:c>
      <x:c r="H300" s="9" t="n">
        <x:v>1</x:v>
      </x:c>
      <x:c r="I300" s="8" t="str">
        <x:v>completas_fornecidas</x:v>
      </x:c>
      <x:c r="J300" s="8" t="str"/>
    </x:row>
    <x:row r="301" ht="68" customHeight="1">
      <x:c r="A301" s="2" t="str">
        <x:v>SINE_referencias</x:v>
      </x:c>
      <x:c r="B301" s="2" t="str">
        <x:v>LFSINE_Vert</x:v>
      </x:c>
      <x:c r="C301" s="2" t="str">
        <x:v>LFSINE_Vert</x:v>
      </x:c>
      <x:c r="D301" s="8" t="str">
        <x:v>Referência genérica; espécie não verificada</x:v>
      </x:c>
      <x:c r="E301" s="8" t="str">
        <x:v>LFSINE_Vert</x:v>
      </x:c>
      <x:c r="F301" s="9" t="n">
        <x:v>0</x:v>
      </x:c>
      <x:c r="G301" s="9" t="n">
        <x:v>1</x:v>
      </x:c>
      <x:c r="H301" s="9" t="n">
        <x:v>1</x:v>
      </x:c>
      <x:c r="I301" s="8" t="str">
        <x:v>completas_fornecidas</x:v>
      </x:c>
      <x:c r="J301" s="8" t="str"/>
    </x:row>
    <x:row r="302" ht="68" customHeight="1">
      <x:c r="A302" s="2" t="str">
        <x:v>SINE_referencias</x:v>
      </x:c>
      <x:c r="B302" s="2" t="str">
        <x:v>LmeSINE1c</x:v>
      </x:c>
      <x:c r="C302" s="2" t="str">
        <x:v>LmeSINE1c</x:v>
      </x:c>
      <x:c r="D302" s="8" t="str">
        <x:v>Referência genérica; espécie não verificada</x:v>
      </x:c>
      <x:c r="E302" s="8" t="str">
        <x:v>LmeSINE1c</x:v>
      </x:c>
      <x:c r="F302" s="9" t="n">
        <x:v>0</x:v>
      </x:c>
      <x:c r="G302" s="9" t="n">
        <x:v>1</x:v>
      </x:c>
      <x:c r="H302" s="9" t="n">
        <x:v>1</x:v>
      </x:c>
      <x:c r="I302" s="8" t="str">
        <x:v>completas_fornecidas</x:v>
      </x:c>
      <x:c r="J302" s="8" t="str"/>
    </x:row>
    <x:row r="303" ht="68" customHeight="1">
      <x:c r="A303" s="2" t="str">
        <x:v>SINE_referencias</x:v>
      </x:c>
      <x:c r="B303" s="2" t="str">
        <x:v>MIR</x:v>
      </x:c>
      <x:c r="C303" s="2" t="str">
        <x:v>MIR</x:v>
      </x:c>
      <x:c r="D303" s="8" t="str">
        <x:v>Referência genérica; espécie não verificada</x:v>
      </x:c>
      <x:c r="E303" s="8" t="str">
        <x:v>MIR</x:v>
      </x:c>
      <x:c r="F303" s="9" t="n">
        <x:v>0</x:v>
      </x:c>
      <x:c r="G303" s="9" t="n">
        <x:v>1</x:v>
      </x:c>
      <x:c r="H303" s="9" t="n">
        <x:v>1</x:v>
      </x:c>
      <x:c r="I303" s="8" t="str">
        <x:v>completas_fornecidas</x:v>
      </x:c>
      <x:c r="J303" s="8" t="str"/>
    </x:row>
    <x:row r="304" ht="68" customHeight="1">
      <x:c r="A304" s="2" t="str">
        <x:v>SINE_referencias</x:v>
      </x:c>
      <x:c r="B304" s="2" t="str">
        <x:v>MIR1_Amn</x:v>
      </x:c>
      <x:c r="C304" s="2" t="str">
        <x:v>MIR1_Amn</x:v>
      </x:c>
      <x:c r="D304" s="8" t="str">
        <x:v>Referência genérica; espécie não verificada</x:v>
      </x:c>
      <x:c r="E304" s="8" t="str">
        <x:v>MIR1_Amn</x:v>
      </x:c>
      <x:c r="F304" s="9" t="n">
        <x:v>0</x:v>
      </x:c>
      <x:c r="G304" s="9" t="n">
        <x:v>1</x:v>
      </x:c>
      <x:c r="H304" s="9" t="n">
        <x:v>1</x:v>
      </x:c>
      <x:c r="I304" s="8" t="str">
        <x:v>completas_fornecidas</x:v>
      </x:c>
      <x:c r="J304" s="8" t="str"/>
    </x:row>
    <x:row r="305" ht="68" customHeight="1">
      <x:c r="A305" s="2" t="str">
        <x:v>SINE_referencias</x:v>
      </x:c>
      <x:c r="B305" s="2" t="str">
        <x:v>MIR3</x:v>
      </x:c>
      <x:c r="C305" s="2" t="str">
        <x:v>MIR3</x:v>
      </x:c>
      <x:c r="D305" s="8" t="str">
        <x:v>Referência genérica; espécie não verificada</x:v>
      </x:c>
      <x:c r="E305" s="8" t="str">
        <x:v>MIR3</x:v>
      </x:c>
      <x:c r="F305" s="9" t="n">
        <x:v>0</x:v>
      </x:c>
      <x:c r="G305" s="9" t="n">
        <x:v>1</x:v>
      </x:c>
      <x:c r="H305" s="9" t="n">
        <x:v>1</x:v>
      </x:c>
      <x:c r="I305" s="8" t="str">
        <x:v>completas_fornecidas</x:v>
      </x:c>
      <x:c r="J305" s="8" t="str"/>
    </x:row>
    <x:row r="306" ht="68" customHeight="1">
      <x:c r="A306" s="2" t="str">
        <x:v>SINE_referencias</x:v>
      </x:c>
      <x:c r="B306" s="2" t="str">
        <x:v>MIRb</x:v>
      </x:c>
      <x:c r="C306" s="2" t="str">
        <x:v>MIRb</x:v>
      </x:c>
      <x:c r="D306" s="8" t="str">
        <x:v>Referência genérica; espécie não verificada</x:v>
      </x:c>
      <x:c r="E306" s="8" t="str">
        <x:v>MIRb</x:v>
      </x:c>
      <x:c r="F306" s="9" t="n">
        <x:v>0</x:v>
      </x:c>
      <x:c r="G306" s="9" t="n">
        <x:v>1</x:v>
      </x:c>
      <x:c r="H306" s="9" t="n">
        <x:v>1</x:v>
      </x:c>
      <x:c r="I306" s="8" t="str">
        <x:v>completas_fornecidas</x:v>
      </x:c>
      <x:c r="J306" s="8" t="str"/>
    </x:row>
    <x:row r="307" ht="68" customHeight="1">
      <x:c r="A307" s="2" t="str">
        <x:v>SINE_referencias</x:v>
      </x:c>
      <x:c r="B307" s="2" t="str">
        <x:v>MIRc</x:v>
      </x:c>
      <x:c r="C307" s="2" t="str">
        <x:v>MIRc</x:v>
      </x:c>
      <x:c r="D307" s="8" t="str">
        <x:v>Referência genérica; espécie não verificada</x:v>
      </x:c>
      <x:c r="E307" s="8" t="str">
        <x:v>MIRc</x:v>
      </x:c>
      <x:c r="F307" s="9" t="n">
        <x:v>0</x:v>
      </x:c>
      <x:c r="G307" s="9" t="n">
        <x:v>1</x:v>
      </x:c>
      <x:c r="H307" s="9" t="n">
        <x:v>1</x:v>
      </x:c>
      <x:c r="I307" s="8" t="str">
        <x:v>completas_fornecidas</x:v>
      </x:c>
      <x:c r="J307" s="8" t="str"/>
    </x:row>
    <x:row r="308" ht="68" customHeight="1">
      <x:c r="A308" s="2" t="str">
        <x:v>SINE_referencias</x:v>
      </x:c>
      <x:c r="B308" s="2" t="str">
        <x:v>MamSINE1</x:v>
      </x:c>
      <x:c r="C308" s="2" t="str">
        <x:v>MamSINE1</x:v>
      </x:c>
      <x:c r="D308" s="8" t="str">
        <x:v>Referência genérica; espécie não verificada</x:v>
      </x:c>
      <x:c r="E308" s="8" t="str">
        <x:v>MamSINE1</x:v>
      </x:c>
      <x:c r="F308" s="9" t="n">
        <x:v>0</x:v>
      </x:c>
      <x:c r="G308" s="9" t="n">
        <x:v>1</x:v>
      </x:c>
      <x:c r="H308" s="9" t="n">
        <x:v>1</x:v>
      </x:c>
      <x:c r="I308" s="8" t="str">
        <x:v>completas_fornecidas</x:v>
      </x:c>
      <x:c r="J308" s="8" t="str"/>
    </x:row>
    <x:row r="309" ht="68" customHeight="1">
      <x:c r="A309" s="2" t="str">
        <x:v>SINE_transcritos</x:v>
      </x:c>
      <x:c r="B309" s="2" t="str">
        <x:v>SEQ-113</x:v>
      </x:c>
      <x:c r="C309" s="2" t="str">
        <x:v>SINE associado a transcrito</x:v>
      </x:c>
      <x:c r="D309" s="8" t="str">
        <x:v>Transcrito completo</x:v>
      </x:c>
      <x:c r="E309" s="8" t="str">
        <x:v>SEQ-113</x:v>
      </x:c>
      <x:c r="F309" s="9" t="n">
        <x:v>1</x:v>
      </x:c>
      <x:c r="G309" s="9" t="n">
        <x:v>0</x:v>
      </x:c>
      <x:c r="H309" s="9" t="n">
        <x:v>2</x:v>
      </x:c>
      <x:c r="I309" s="8" t="str">
        <x:v>body; head</x:v>
      </x:c>
      <x:c r="J309" s="8" t="str"/>
    </x:row>
    <x:row r="310" ht="68" customHeight="1">
      <x:c r="A310" s="2" t="str">
        <x:v>SINE_transcritos</x:v>
      </x:c>
      <x:c r="B310" s="2" t="str">
        <x:v>SEQ-114</x:v>
      </x:c>
      <x:c r="C310" s="2" t="str">
        <x:v>SINE associado a transcrito</x:v>
      </x:c>
      <x:c r="D310" s="8" t="str">
        <x:v>Transcrito completo</x:v>
      </x:c>
      <x:c r="E310" s="8" t="str">
        <x:v>SEQ-114</x:v>
      </x:c>
      <x:c r="F310" s="9" t="n">
        <x:v>1</x:v>
      </x:c>
      <x:c r="G310" s="9" t="n">
        <x:v>0</x:v>
      </x:c>
      <x:c r="H310" s="9" t="n">
        <x:v>2</x:v>
      </x:c>
      <x:c r="I310" s="8" t="str">
        <x:v>body; head</x:v>
      </x:c>
      <x:c r="J310" s="8" t="str"/>
    </x:row>
    <x:row r="311" ht="68" customHeight="1">
      <x:c r="A311" s="2" t="str">
        <x:v>SINE_transcritos</x:v>
      </x:c>
      <x:c r="B311" s="2" t="str">
        <x:v>SEQ-115</x:v>
      </x:c>
      <x:c r="C311" s="2" t="str">
        <x:v>SINE associado a transcrito</x:v>
      </x:c>
      <x:c r="D311" s="8" t="str">
        <x:v>Transcrito completo</x:v>
      </x:c>
      <x:c r="E311" s="8" t="str">
        <x:v>SEQ-115</x:v>
      </x:c>
      <x:c r="F311" s="9" t="n">
        <x:v>1</x:v>
      </x:c>
      <x:c r="G311" s="9" t="n">
        <x:v>0</x:v>
      </x:c>
      <x:c r="H311" s="9" t="n">
        <x:v>1</x:v>
      </x:c>
      <x:c r="I311" s="8" t="str">
        <x:v>nao_separadas</x:v>
      </x:c>
      <x:c r="J311" s="8" t="str"/>
    </x:row>
  </x:sheetData>
  <x:pageMargins left="0.7" right="0.7" top="0.75" bottom="0.75" header="0.3" footer="0.3"/>
  <x:tableParts count="1">
    <x:tablePart xmlns:r="http://schemas.openxmlformats.org/officeDocument/2006/relationships" r:id="R0bb86f0e796c40e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8" hidden="0" customWidth="1"/>
    <x:col min="3" max="3" width="22" hidden="0" customWidth="1"/>
  </x:cols>
  <x:sheetData>
    <x:row r="1" ht="44" customHeight="1">
      <x:c r="A1" s="6" t="str">
        <x:v>Classe</x:v>
      </x:c>
      <x:c r="B1" s="6" t="str">
        <x:v>Região</x:v>
      </x:c>
      <x:c r="C1" s="6" t="str">
        <x:v>Registros FASTA</x:v>
      </x:c>
    </x:row>
    <x:row r="2" ht="25" customHeight="1">
      <x:c r="A2" s="2" t="str">
        <x:v>ERV_outros</x:v>
      </x:c>
      <x:c r="B2" s="2" t="str">
        <x:v>LTR_nao_posicionada</x:v>
      </x:c>
      <x:c r="C2" s="7" t="n">
        <x:v>16</x:v>
      </x:c>
    </x:row>
    <x:row r="3" ht="25" customHeight="1">
      <x:c r="A3" s="2" t="str">
        <x:v>ERV_outros</x:v>
      </x:c>
      <x:c r="B3" s="2" t="str">
        <x:v>ORF_gag</x:v>
      </x:c>
      <x:c r="C3" s="7" t="n">
        <x:v>3</x:v>
      </x:c>
    </x:row>
    <x:row r="4" ht="25" customHeight="1">
      <x:c r="A4" s="2" t="str">
        <x:v>ERV_outros</x:v>
      </x:c>
      <x:c r="B4" s="2" t="str">
        <x:v>ORF_pol</x:v>
      </x:c>
      <x:c r="C4" s="7" t="n">
        <x:v>9</x:v>
      </x:c>
    </x:row>
    <x:row r="5" ht="25" customHeight="1">
      <x:c r="A5" s="2" t="str">
        <x:v>ERV_outros</x:v>
      </x:c>
      <x:c r="B5" s="2" t="str">
        <x:v>completas_fornecidas</x:v>
      </x:c>
      <x:c r="C5" s="7" t="n">
        <x:v>17</x:v>
      </x:c>
    </x:row>
    <x:row r="6" ht="25" customHeight="1">
      <x:c r="A6" s="2" t="str">
        <x:v>ERV_outros</x:v>
      </x:c>
      <x:c r="B6" s="2" t="str">
        <x:v>remanescente_nao_anotado</x:v>
      </x:c>
      <x:c r="C6" s="7" t="n">
        <x:v>16</x:v>
      </x:c>
    </x:row>
    <x:row r="7" ht="25" customHeight="1">
      <x:c r="A7" s="2" t="str">
        <x:v>LINE</x:v>
      </x:c>
      <x:c r="B7" s="2" t="str">
        <x:v>3UTR</x:v>
      </x:c>
      <x:c r="C7" s="7" t="n">
        <x:v>101</x:v>
      </x:c>
    </x:row>
    <x:row r="8" ht="25" customHeight="1">
      <x:c r="A8" s="2" t="str">
        <x:v>LINE</x:v>
      </x:c>
      <x:c r="B8" s="2" t="str">
        <x:v>5UTR</x:v>
      </x:c>
      <x:c r="C8" s="7" t="n">
        <x:v>84</x:v>
      </x:c>
    </x:row>
    <x:row r="9" ht="25" customHeight="1">
      <x:c r="A9" s="2" t="str">
        <x:v>LINE</x:v>
      </x:c>
      <x:c r="B9" s="2" t="str">
        <x:v>ORF1</x:v>
      </x:c>
      <x:c r="C9" s="7" t="n">
        <x:v>85</x:v>
      </x:c>
    </x:row>
    <x:row r="10" ht="25" customHeight="1">
      <x:c r="A10" s="2" t="str">
        <x:v>LINE</x:v>
      </x:c>
      <x:c r="B10" s="2" t="str">
        <x:v>ORF2</x:v>
      </x:c>
      <x:c r="C10" s="7" t="n">
        <x:v>86</x:v>
      </x:c>
    </x:row>
    <x:row r="11" ht="25" customHeight="1">
      <x:c r="A11" s="2" t="str">
        <x:v>LINE</x:v>
      </x:c>
      <x:c r="B11" s="2" t="str">
        <x:v>completas_fornecidas</x:v>
      </x:c>
      <x:c r="C11" s="7" t="n">
        <x:v>46</x:v>
      </x:c>
    </x:row>
    <x:row r="12" ht="25" customHeight="1">
      <x:c r="A12" s="2" t="str">
        <x:v>LINE</x:v>
      </x:c>
      <x:c r="B12" s="2" t="str">
        <x:v>intergenica</x:v>
      </x:c>
      <x:c r="C12" s="7" t="n">
        <x:v>79</x:v>
      </x:c>
    </x:row>
    <x:row r="13" ht="25" customHeight="1">
      <x:c r="A13" s="2" t="str">
        <x:v>LINE</x:v>
      </x:c>
      <x:c r="B13" s="2" t="str">
        <x:v>nao_separadas</x:v>
      </x:c>
      <x:c r="C13" s="7" t="n">
        <x:v>8</x:v>
      </x:c>
    </x:row>
    <x:row r="14" ht="25" customHeight="1">
      <x:c r="A14" s="2" t="str">
        <x:v>LINE</x:v>
      </x:c>
      <x:c r="B14" s="2" t="str">
        <x:v>tail</x:v>
      </x:c>
      <x:c r="C14" s="7" t="n">
        <x:v>53</x:v>
      </x:c>
    </x:row>
    <x:row r="15" ht="25" customHeight="1">
      <x:c r="A15" s="2" t="str">
        <x:v>PERV</x:v>
      </x:c>
      <x:c r="B15" s="2" t="str">
        <x:v>3UTR</x:v>
      </x:c>
      <x:c r="C15" s="7" t="n">
        <x:v>85</x:v>
      </x:c>
    </x:row>
    <x:row r="16" ht="25" customHeight="1">
      <x:c r="A16" s="2" t="str">
        <x:v>PERV</x:v>
      </x:c>
      <x:c r="B16" s="2" t="str">
        <x:v>5UTR</x:v>
      </x:c>
      <x:c r="C16" s="7" t="n">
        <x:v>85</x:v>
      </x:c>
    </x:row>
    <x:row r="17" ht="25" customHeight="1">
      <x:c r="A17" s="2" t="str">
        <x:v>PERV</x:v>
      </x:c>
      <x:c r="B17" s="2" t="str">
        <x:v>LTR3</x:v>
      </x:c>
      <x:c r="C17" s="7" t="n">
        <x:v>30</x:v>
      </x:c>
    </x:row>
    <x:row r="18" ht="25" customHeight="1">
      <x:c r="A18" s="2" t="str">
        <x:v>PERV</x:v>
      </x:c>
      <x:c r="B18" s="2" t="str">
        <x:v>LTR5</x:v>
      </x:c>
      <x:c r="C18" s="7" t="n">
        <x:v>30</x:v>
      </x:c>
    </x:row>
    <x:row r="19" ht="25" customHeight="1">
      <x:c r="A19" s="2" t="str">
        <x:v>PERV</x:v>
      </x:c>
      <x:c r="B19" s="2" t="str">
        <x:v>LTR_nao_posicionada</x:v>
      </x:c>
      <x:c r="C19" s="7" t="n">
        <x:v>2</x:v>
      </x:c>
    </x:row>
    <x:row r="20" ht="25" customHeight="1">
      <x:c r="A20" s="2" t="str">
        <x:v>PERV</x:v>
      </x:c>
      <x:c r="B20" s="2" t="str">
        <x:v>ORF_ORF</x:v>
      </x:c>
      <x:c r="C20" s="7" t="n">
        <x:v>15</x:v>
      </x:c>
    </x:row>
    <x:row r="21" ht="25" customHeight="1">
      <x:c r="A21" s="2" t="str">
        <x:v>PERV</x:v>
      </x:c>
      <x:c r="B21" s="2" t="str">
        <x:v>ORF_env</x:v>
      </x:c>
      <x:c r="C21" s="7" t="n">
        <x:v>47</x:v>
      </x:c>
    </x:row>
    <x:row r="22" ht="25" customHeight="1">
      <x:c r="A22" s="2" t="str">
        <x:v>PERV</x:v>
      </x:c>
      <x:c r="B22" s="2" t="str">
        <x:v>ORF_gag</x:v>
      </x:c>
      <x:c r="C22" s="7" t="n">
        <x:v>77</x:v>
      </x:c>
    </x:row>
    <x:row r="23" ht="25" customHeight="1">
      <x:c r="A23" s="2" t="str">
        <x:v>PERV</x:v>
      </x:c>
      <x:c r="B23" s="2" t="str">
        <x:v>ORF_pol</x:v>
      </x:c>
      <x:c r="C23" s="7" t="n">
        <x:v>77</x:v>
      </x:c>
    </x:row>
    <x:row r="24" ht="25" customHeight="1">
      <x:c r="A24" s="2" t="str">
        <x:v>PERV</x:v>
      </x:c>
      <x:c r="B24" s="2" t="str">
        <x:v>completas_fornecidas</x:v>
      </x:c>
      <x:c r="C24" s="7" t="n">
        <x:v>2</x:v>
      </x:c>
    </x:row>
    <x:row r="25" ht="25" customHeight="1">
      <x:c r="A25" s="2" t="str">
        <x:v>PERV</x:v>
      </x:c>
      <x:c r="B25" s="2" t="str">
        <x:v>intergenica</x:v>
      </x:c>
      <x:c r="C25" s="7" t="n">
        <x:v>116</x:v>
      </x:c>
    </x:row>
    <x:row r="26" ht="25" customHeight="1">
      <x:c r="A26" s="2" t="str">
        <x:v>PERV</x:v>
      </x:c>
      <x:c r="B26" s="2" t="str">
        <x:v>nao_separadas</x:v>
      </x:c>
      <x:c r="C26" s="7" t="n">
        <x:v>12</x:v>
      </x:c>
    </x:row>
    <x:row r="27" ht="25" customHeight="1">
      <x:c r="A27" s="2" t="str">
        <x:v>PERV</x:v>
      </x:c>
      <x:c r="B27" s="2" t="str">
        <x:v>remanescente_nao_anotado</x:v>
      </x:c>
      <x:c r="C27" s="7" t="n">
        <x:v>2</x:v>
      </x:c>
    </x:row>
    <x:row r="28" ht="25" customHeight="1">
      <x:c r="A28" s="2" t="str">
        <x:v>Referencia_RNA</x:v>
      </x:c>
      <x:c r="B28" s="2" t="str">
        <x:v>completas_fornecidas</x:v>
      </x:c>
      <x:c r="C28" s="7" t="n">
        <x:v>1</x:v>
      </x:c>
    </x:row>
    <x:row r="29" ht="25" customHeight="1">
      <x:c r="A29" s="2" t="str">
        <x:v>SINE</x:v>
      </x:c>
      <x:c r="B29" s="2" t="str">
        <x:v>body</x:v>
      </x:c>
      <x:c r="C29" s="7" t="n">
        <x:v>112</x:v>
      </x:c>
    </x:row>
    <x:row r="30" ht="25" customHeight="1">
      <x:c r="A30" s="2" t="str">
        <x:v>SINE</x:v>
      </x:c>
      <x:c r="B30" s="2" t="str">
        <x:v>completas_fornecidas</x:v>
      </x:c>
      <x:c r="C30" s="7" t="n">
        <x:v>23</x:v>
      </x:c>
    </x:row>
    <x:row r="31" ht="25" customHeight="1">
      <x:c r="A31" s="2" t="str">
        <x:v>SINE</x:v>
      </x:c>
      <x:c r="B31" s="2" t="str">
        <x:v>core_sem_polyA</x:v>
      </x:c>
      <x:c r="C31" s="7" t="n">
        <x:v>25</x:v>
      </x:c>
    </x:row>
    <x:row r="32" ht="25" customHeight="1">
      <x:c r="A32" s="2" t="str">
        <x:v>SINE</x:v>
      </x:c>
      <x:c r="B32" s="2" t="str">
        <x:v>head</x:v>
      </x:c>
      <x:c r="C32" s="7" t="n">
        <x:v>112</x:v>
      </x:c>
    </x:row>
    <x:row r="33" ht="25" customHeight="1">
      <x:c r="A33" s="2" t="str">
        <x:v>SINE</x:v>
      </x:c>
      <x:c r="B33" s="2" t="str">
        <x:v>nao_separadas</x:v>
      </x:c>
      <x:c r="C33" s="7" t="n">
        <x:v>9</x:v>
      </x:c>
    </x:row>
    <x:row r="34" ht="25" customHeight="1">
      <x:c r="A34" s="2" t="str">
        <x:v>SINE</x:v>
      </x:c>
      <x:c r="B34" s="2" t="str">
        <x:v>tail</x:v>
      </x:c>
      <x:c r="C34" s="7" t="n">
        <x:v>123</x:v>
      </x:c>
    </x:row>
    <x:row r="35" ht="25" customHeight="1">
      <x:c r="A35" s="2" t="str">
        <x:v>SINE_referencias</x:v>
      </x:c>
      <x:c r="B35" s="2" t="str">
        <x:v>completas_fornecidas</x:v>
      </x:c>
      <x:c r="C35" s="7" t="n">
        <x:v>14</x:v>
      </x:c>
    </x:row>
    <x:row r="36" ht="25" customHeight="1">
      <x:c r="A36" s="2" t="str">
        <x:v>SINE_transcritos</x:v>
      </x:c>
      <x:c r="B36" s="2" t="str">
        <x:v>body</x:v>
      </x:c>
      <x:c r="C36" s="7" t="n">
        <x:v>2</x:v>
      </x:c>
    </x:row>
    <x:row r="37" ht="25" customHeight="1">
      <x:c r="A37" s="2" t="str">
        <x:v>SINE_transcritos</x:v>
      </x:c>
      <x:c r="B37" s="2" t="str">
        <x:v>head</x:v>
      </x:c>
      <x:c r="C37" s="7" t="n">
        <x:v>2</x:v>
      </x:c>
    </x:row>
    <x:row r="38" ht="25" customHeight="1">
      <x:c r="A38" s="2" t="str">
        <x:v>SINE_transcritos</x:v>
      </x:c>
      <x:c r="B38" s="2" t="str">
        <x:v>nao_separadas</x:v>
      </x:c>
      <x:c r="C38" s="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d53f42489134a5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52" hidden="0" customWidth="1"/>
    <x:col min="4" max="4" width="70" hidden="0" customWidth="1"/>
    <x:col min="5" max="5" width="83" hidden="0" customWidth="1"/>
  </x:cols>
  <x:sheetData>
    <x:row r="1" ht="44" customHeight="1">
      <x:c r="A1" s="6" t="str">
        <x:v>Verificação</x:v>
      </x:c>
      <x:c r="B1" s="6" t="str">
        <x:v>Origem</x:v>
      </x:c>
      <x:c r="C1" s="6" t="str">
        <x:v>Arquivo</x:v>
      </x:c>
      <x:c r="D1" s="6" t="str">
        <x:v>Cabeçalho original</x:v>
      </x:c>
      <x:c r="E1" s="6" t="str">
        <x:v>Resultado</x:v>
      </x:c>
    </x:row>
    <x:row r="2" ht="90" customHeight="1">
      <x:c r="A2" s="8" t="str">
        <x:v>Tamanho informado</x:v>
      </x:c>
      <x:c r="B2" s="8" t="str">
        <x:v>Artigo 2019</x:v>
      </x:c>
      <x:c r="C2" s="8" t="str">
        <x:v>LINE/L1C/L1C__ORF2.fasta</x:v>
      </x:c>
      <x:c r="D2" s="8" t="str">
        <x:v>L1C1#LINE/L1C|part=ORF2|start=3062|end=6855|len=3794|active_count=None</x:v>
      </x:c>
      <x:c r="E2" s="8" t="str">
        <x:v>Informado 3794; observado 3803</x:v>
      </x:c>
    </x:row>
    <x:row r="3" ht="90" customHeight="1">
      <x:c r="A3" s="8" t="str">
        <x:v>Recorte vs FULL</x:v>
      </x:c>
      <x:c r="B3" s="8" t="str">
        <x:v>Artigo 2019</x:v>
      </x:c>
      <x:c r="C3" s="8" t="str">
        <x:v>LINE/L1C/L1C__ORF2.fasta</x:v>
      </x:c>
      <x:c r="D3" s="8" t="str">
        <x:v>L1C1#LINE/L1C|part=ORF2|start=3062|end=6855|len=3794|active_count=None</x:v>
      </x:c>
      <x:c r="E3" s="8" t="str">
        <x:v>Não coincide com o intervalo da sequência FULL fornecida</x:v>
      </x:c>
    </x:row>
    <x:row r="4" ht="90" customHeight="1">
      <x:c r="A4" s="8" t="str">
        <x:v>Tamanho informado</x:v>
      </x:c>
      <x:c r="B4" s="8" t="str">
        <x:v>Artigo 2019</x:v>
      </x:c>
      <x:c r="C4" s="8" t="str">
        <x:v>LINE/L1D (Ativa)/L1D__ORF2.fasta</x:v>
      </x:c>
      <x:c r="D4" s="8" t="str">
        <x:v>L1D14#LINE/L1D|part=ORF2|start=3129|end=6946|len=3818|active_count=None</x:v>
      </x:c>
      <x:c r="E4" s="8" t="str">
        <x:v>Informado 3818; observado 3817</x:v>
      </x:c>
    </x:row>
    <x:row r="5" ht="90" customHeight="1">
      <x:c r="A5" s="8" t="str">
        <x:v>Recorte vs FULL</x:v>
      </x:c>
      <x:c r="B5" s="8" t="str">
        <x:v>Artigo 2019</x:v>
      </x:c>
      <x:c r="C5" s="8" t="str">
        <x:v>LINE/L1D (Ativa)/L1D__ORF2.fasta</x:v>
      </x:c>
      <x:c r="D5" s="8" t="str">
        <x:v>L1D14#LINE/L1D|part=ORF2|start=3129|end=6946|len=3818|active_count=None</x:v>
      </x:c>
      <x:c r="E5" s="8" t="str">
        <x:v>Não coincide com o intervalo da sequência FULL fornecida</x:v>
      </x:c>
    </x:row>
    <x:row r="6" ht="90" customHeight="1">
      <x:c r="A6" s="8" t="str">
        <x:v>Variante entre pacotes</x:v>
      </x:c>
      <x:c r="B6" s="8" t="str">
        <x:v>Anterior</x:v>
      </x:c>
      <x:c r="C6" s="8" t="str">
        <x:v>Sequencias_separadas/LINE/LINE_nao_separadas.fasta</x:v>
      </x:c>
      <x:c r="D6" s="8" t="str">
        <x:v>SscL1A6#LINE/L1A</x:v>
      </x:c>
      <x:c r="E6" s="8" t="str">
        <x:v>Fragmento não contido literalmente no FULL homônimo novo; ambas as versões preservadas, um único identificador/modelo na contagem.</x:v>
      </x:c>
    </x:row>
    <x:row r="7" ht="90" customHeight="1">
      <x:c r="A7" s="8" t="str">
        <x:v>Variante entre pacotes</x:v>
      </x:c>
      <x:c r="B7" s="8" t="str">
        <x:v>Anterior</x:v>
      </x:c>
      <x:c r="C7" s="8" t="str">
        <x:v>Sequencias_separadas/SINE/SINE_body.fasta</x:v>
      </x:c>
      <x:c r="D7" s="8" t="str">
        <x:v>SscSINEA6#SINE/SINEA</x:v>
      </x:c>
      <x:c r="E7" s="8" t="str">
        <x:v>Fragmento não contido literalmente no FULL homônimo novo; ambas as versões preservadas, um único identificador/modelo na contagem.</x:v>
      </x:c>
    </x:row>
    <x:row r="8" ht="90" customHeight="1">
      <x:c r="A8" s="8" t="str">
        <x:v>Variante entre pacotes</x:v>
      </x:c>
      <x:c r="B8" s="8" t="str">
        <x:v>Anterior</x:v>
      </x:c>
      <x:c r="C8" s="8" t="str">
        <x:v>Sequencias_separadas/SINE/SINE_head.fasta</x:v>
      </x:c>
      <x:c r="D8" s="8" t="str">
        <x:v>SscSINEA10#SINE/SINEA</x:v>
      </x:c>
      <x:c r="E8" s="8" t="str">
        <x:v>Fragmento não contido literalmente no FULL homônimo novo; ambas as versões preservadas, um único identificador/modelo na contagem.</x:v>
      </x:c>
    </x:row>
    <x:row r="9" ht="90" customHeight="1">
      <x:c r="A9" s="8" t="str">
        <x:v>Variante entre pacotes</x:v>
      </x:c>
      <x:c r="B9" s="8" t="str">
        <x:v>Anterior</x:v>
      </x:c>
      <x:c r="C9" s="8" t="str">
        <x:v>Sequencias_separadas/SINE/SINE_nao_separadas.fasta</x:v>
      </x:c>
      <x:c r="D9" s="8" t="str">
        <x:v>SscSINEB3#SINE/SINEB</x:v>
      </x:c>
      <x:c r="E9" s="8" t="str">
        <x:v>Fragmento não contido literalmente no FULL homônimo novo; ambas as versões preservadas, um único identificador/modelo na contagem.</x:v>
      </x:c>
    </x:row>
    <x:row r="10" ht="90" customHeight="1">
      <x:c r="A10" s="8" t="str">
        <x:v>Variante entre pacotes</x:v>
      </x:c>
      <x:c r="B10" s="8" t="str">
        <x:v>Anterior</x:v>
      </x:c>
      <x:c r="C10" s="8" t="str">
        <x:v>Sequencias_separadas/SINE/SINE_nao_separadas.fasta</x:v>
      </x:c>
      <x:c r="D10" s="8" t="str">
        <x:v>SscSINEC1#SINE/SINEC</x:v>
      </x:c>
      <x:c r="E10" s="8" t="str">
        <x:v>Fragmento não contido literalmente no FULL homônimo novo; ambas as versões preservadas, um único identificador/modelo na contagem.</x:v>
      </x:c>
    </x:row>
  </x:sheetData>
  <x:pageMargins left="0.7" right="0.7" top="0.75" bottom="0.75" header="0.3" footer="0.3"/>
  <x:tableParts count="1">
    <x:tablePart xmlns:r="http://schemas.openxmlformats.org/officeDocument/2006/relationships" r:id="R552890827a234d1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25" hidden="0" customWidth="1"/>
  </x:cols>
  <x:sheetData>
    <x:row r="1" ht="44" customHeight="1">
      <x:c r="A1" s="6" t="str">
        <x:v>Item</x:v>
      </x:c>
      <x:c r="B1" s="6" t="str">
        <x:v>Critério / fonte</x:v>
      </x:c>
    </x:row>
    <x:row r="2" ht="80" customHeight="1">
      <x:c r="A2" s="2" t="str">
        <x:v>Unidade principal</x:v>
      </x:c>
      <x:c r="B2" s="8" t="str">
        <x:v>Identificador de origem depurado: modelo/consenso, acesso ou locus. Fragmentos de um mesmo identificador contam uma vez. Não equivale a número de loci biológicos independentes, moléculas únicas ou sequências completas.</x:v>
      </x:c>
    </x:row>
    <x:row r="3" ht="80" customHeight="1">
      <x:c r="A3" s="2" t="str">
        <x:v>Unidade FASTA</x:v>
      </x:c>
      <x:c r="B3" s="8" t="str">
        <x:v>Cada entrada iniciada por &gt; é um registro. Uma mesma origem pode ter FULL, ORF, UTR, LTR e fragmentos sobrepostos; não somar esses registros como elementos independentes.</x:v>
      </x:c>
    </x:row>
    <x:row r="4" ht="80" customHeight="1">
      <x:c r="A4" s="2" t="str">
        <x:v>SINE total</x:v>
      </x:c>
      <x:c r="B4" s="8" t="str">
        <x:v>135 identificadores: 121 no conjunto principal e 14 referências genéricas fornecidas no artigo. A origem suína dessas 14 referências não foi confirmada; para uma figura restrita ao conjunto principal, usar 121 e apresentar as 14 à parte.</x:v>
      </x:c>
    </x:row>
    <x:row r="5" ht="80" customHeight="1">
      <x:c r="A5" s="2" t="str">
        <x:v>Materiais complementares</x:v>
      </x:c>
      <x:c r="B5" s="8" t="str">
        <x:v>Três transcritos associados a SINE (5 registros FASTA) e uma referência 7SLRNA foram excluídos do total de SINE isolados/consensos. Permanecem no pacote e nas tabelas auxiliares.</x:v>
      </x:c>
    </x:row>
    <x:row r="6" ht="80" customHeight="1">
      <x:c r="A6" s="2" t="str">
        <x:v>Outros ERVs</x:v>
      </x:c>
      <x:c r="B6" s="8" t="str">
        <x:v>17 modelos ERV1–ERV18, exceto ERV6, mantidos em ERV_outros. Não foram chamados de PERV. Um modelo inclui a região interna e a LTR, quando fornecidas.</x:v>
      </x:c>
    </x:row>
    <x:row r="7" ht="80" customHeight="1">
      <x:c r="A7" s="2" t="str">
        <x:v>ERV6A e ERV6B</x:v>
      </x:c>
      <x:c r="B7" s="8" t="str">
        <x:v>Correspondência por coordenadas publicada no artigo: ERV6A = chr5:92185133–92194050; ERV6B = chr9:138895584–138904340. Os loci já constam como PERV-A-5-92.1M e PERV-B-9-138.8M. As novas partes foram acrescentadas sem contar dois novos loci.</x:v>
      </x:c>
    </x:row>
    <x:row r="8" ht="80" customHeight="1">
      <x:c r="A8" s="2" t="str">
        <x:v>Subtipos PERV</x:v>
      </x:c>
      <x:c r="B8" s="8" t="str">
        <x:v>As classificações PERV-A/PERV-B dos dois loci vêm dos cabeçalhos anteriores. ERV6A/ERV6B são outra nomenclatura do artigo e não uma equivalência universal entre subfamílias. As demais classificações foram mantidas conforme cabeçalho ou log anexo.</x:v>
      </x:c>
    </x:row>
    <x:row r="9" ht="80" customHeight="1">
      <x:c r="A9" s="2" t="str">
        <x:v>Normalização de nomes</x:v>
      </x:c>
      <x:c r="B9" s="8" t="str">
        <x:v>SscL1A1 e L1A1, por exemplo, representam um identificador; SscSINEA1 e SINEA1_SSc também. Acessos PERV com e sem versão e registros env do mesmo acesso foram agrupados; todas as sequências fornecidas permanecem rastreáveis.</x:v>
      </x:c>
    </x:row>
    <x:row r="10" ht="80" customHeight="1">
      <x:c r="A10" s="2" t="str">
        <x:v>Duplicatas</x:v>
      </x:c>
      <x:c r="B10" s="8" t="str">
        <x:v>Não se acrescentou uma entrada quando já havia sequência de nucleotídeos idêntica para a mesma origem e a mesma região de destino. FULL idêntico a nao_separadas também foi aproveitado. 95 entradas dispensadas: inclui repetições internas ao novo ZIP. Não se eliminaram fragmentos iguais de origens distintas.</x:v>
      </x:c>
    </x:row>
    <x:row r="11" ht="80" customHeight="1">
      <x:c r="A11" s="2" t="str">
        <x:v>Preservação</x:v>
      </x:c>
      <x:c r="B11" s="8" t="str">
        <x:v>Os 1.153 registros anteriores foram mantidos, com conteúdo e cabeçalho originais. Acrescentados 454 registros. Apenas o prefixo de pasta foi mantido e os nucleotídeos foram normalizados para maiúsculas e linhas de 80 caracteres. Cabeçalhos novos receberam o DOI de origem.</x:v>
      </x:c>
    </x:row>
    <x:row r="12" ht="80" customHeight="1">
      <x:c r="A12" s="2" t="str">
        <x:v>Regiões adicionais</x:v>
      </x:c>
      <x:c r="B12" s="8" t="str">
        <x:v>core_sem_polyA não foi convertido em body. TAIL de ERV ficou como remanescente_nao_anotado. LTR isolada não foi duplicada em LTR5/LTR3. FULL de ERV-I representa a sequência interna fornecida, não um provírus completo com duas LTRs.</x:v>
      </x:c>
    </x:row>
    <x:row r="13" ht="80" customHeight="1">
      <x:c r="A13" s="2" t="str">
        <x:v>Anotações dos fragmentos</x:v>
      </x:c>
      <x:c r="B13" s="8" t="str">
        <x:v>Rótulos ORF/gag/pol/env e coordenadas foram preservados conforme os arquivos recebidos. A conferência checa integridade dos recortes contra FULL; não valida experimentalmente função, atividade ou os limites biológicos dessas regiões. Recortes diferentes da mesma origem coexistem.</x:v>
      </x:c>
    </x:row>
    <x:row r="14" ht="80" customHeight="1">
      <x:c r="A14" s="2" t="str">
        <x:v>Divergências recebidas</x:v>
      </x:c>
      <x:c r="B14" s="8" t="str">
        <x:v>L1C1 ORF2: 3.803 nt observados versus 3.794 informados. L1D14 ORF2: 3.817 versus 3.818. Os dois recortes divergem do intervalo declarado no FULL. Dados originais preservados, sem correção por suposição. Ver Conferencia.</x:v>
      </x:c>
    </x:row>
    <x:row r="15" ht="80" customHeight="1">
      <x:c r="A15" s="2" t="str">
        <x:v>Variantes entre pacotes</x:v>
      </x:c>
      <x:c r="B15" s="8" t="str">
        <x:v>Cinco fragmentos anteriores não estão contidos literalmente no novo FULL homônimo: L1A6, SINEA6, SINEA10, SINEB3 e SINEC1. Versões preservadas; os totais por identificador não distinguem variantes de nucleotídeos.</x:v>
      </x:c>
    </x:row>
    <x:row r="16" ht="80" customHeight="1">
      <x:c r="A16" s="2" t="str">
        <x:v>Cobertura</x:v>
      </x:c>
      <x:c r="B16" s="8" t="str">
        <x:v>Contado apenas material FASTA efetivamente presente nos dois ZIPs. Linhas do log que têm somente coordenadas, links ou FASTA=0 não foram acrescentadas à contagem. A planilha de triagem não foi modificada.</x:v>
      </x:c>
    </x:row>
    <x:row r="17" ht="80" customHeight="1">
      <x:c r="A17" s="2" t="str">
        <x:v>Figura futura</x:v>
      </x:c>
      <x:c r="B17" s="8" t="str">
        <x:v>Sugestão de unidade para legenda: número de identificadores de origem representados na coleção. Para figura exclusivamente suína: LINE 57, SINE principal 121, PERV 97; manter 14 referências SINE, 17 outros ERVs, 3 transcritos e 7SLRNA em categorias complementares. Não interpretar como abundância genômica.</x:v>
      </x:c>
    </x:row>
    <x:row r="18" ht="80" customHeight="1">
      <x:c r="A18" s="2" t="str">
        <x:v>Arquivo anterior</x:v>
      </x:c>
      <x:c r="B18" s="8" t="str">
        <x:v>Sequencias_separadas (1)(1).zip</x:v>
      </x:c>
    </x:row>
    <x:row r="19" ht="80" customHeight="1">
      <x:c r="A19" s="2" t="str">
        <x:v>Arquivo acrescentado</x:v>
      </x:c>
      <x:c r="B19" s="8" t="str">
        <x:v>drive-download-20260712T024928Z-2-001 (1) (1)(1).zip</x:v>
      </x:c>
    </x:row>
    <x:row r="20" ht="80" customHeight="1">
      <x:c r="A20" s="2" t="str">
        <x:v>Metadados</x:v>
      </x:c>
      <x:c r="B20" s="8" t="str">
        <x:v>TCC_triagem_integrada_PubMed2_com_varredura_sequencias(1).xlsx, aba Log de sequências. Fonte de subtipos de acessos sem classificação no cabeçalho.</x:v>
      </x:c>
    </x:row>
    <x:row r="21" ht="80" customHeight="1">
      <x:c r="A21" s="2" t="str">
        <x:v>Artigo</x:v>
      </x:c>
      <x:c r="B21" s="8" t="str">
        <x:v>Retrotransposons evolution and impact on lncRNA and protein coding genes in pigs. DOI: 10.1186/s13100-019-0161-8. https://doi.org/10.1186/s13100-019-0161-8 ; PMC6501411, resultados ERV.</x:v>
      </x:c>
    </x:row>
    <x:row r="22" ht="80" customHeight="1">
      <x:c r="A22" s="2" t="str">
        <x:v>Conferência técnica</x:v>
      </x:c>
      <x:c r="B22" s="8" t="str">
        <x:v>Todos os FASTAs foram lidos; 549 registros recebidos = 454 acrescentados + 95 duplicatas; 1.153 anteriores + 454 = 1.607 finais. Nenhum caractere fora do alfabeto IUPAC aceito foi encontrado. Recortes com start/end comparados em coordenadas 1-based inclusivas.</x:v>
      </x:c>
    </x:row>
  </x:sheetData>
  <x:pageMargins left="0.7" right="0.7" top="0.75" bottom="0.75" header="0.3" footer="0.3"/>
  <x:tableParts count="1">
    <x:tablePart xmlns:r="http://schemas.openxmlformats.org/officeDocument/2006/relationships" r:id="R84804b45192a465e"/>
  </x:tableParts>
</x:worksheet>
</file>